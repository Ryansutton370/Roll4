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All Horizontal" sheetId="2" r:id="rId6"/>
    <sheet state="visible" name="LV 0-1" sheetId="3" r:id="rId7"/>
    <sheet state="visible" name="LV 2" sheetId="4" r:id="rId8"/>
    <sheet state="visible" name="LV 3" sheetId="5" r:id="rId9"/>
    <sheet state="visible" name="LV 4" sheetId="6" r:id="rId10"/>
    <sheet state="visible" name="LV 5" sheetId="7" r:id="rId11"/>
    <sheet state="visible" name="LV 6" sheetId="8" r:id="rId12"/>
    <sheet state="visible" name="LV 7" sheetId="9" r:id="rId13"/>
    <sheet state="visible" name="LV 8" sheetId="10" r:id="rId14"/>
    <sheet state="visible" name="LV 9-10" sheetId="11" r:id="rId15"/>
    <sheet state="visible" name="LV 11-16" sheetId="12" r:id="rId16"/>
    <sheet state="visible" name="LV 17-30 &amp; Other" sheetId="13" r:id="rId17"/>
    <sheet state="visible" name="Credits &amp; License" sheetId="14" r:id="rId18"/>
  </sheets>
  <definedNames>
    <definedName hidden="1" localSheetId="0" name="Z_4FEF9F0C_4236_4853_B093_88FE2289FD26_.wvu.FilterData">All!$A$4:$AB$243</definedName>
    <definedName hidden="1" localSheetId="2" name="Z_4FEF9F0C_4236_4853_B093_88FE2289FD26_.wvu.FilterData">'LV 0-1'!$A$1:$AB$25</definedName>
    <definedName hidden="1" localSheetId="3" name="Z_4FEF9F0C_4236_4853_B093_88FE2289FD26_.wvu.FilterData">'LV 2'!$A$1:$AB$35</definedName>
    <definedName hidden="1" localSheetId="4" name="Z_4FEF9F0C_4236_4853_B093_88FE2289FD26_.wvu.FilterData">'LV 3'!$A$1:$AB$34</definedName>
    <definedName hidden="1" localSheetId="5" name="Z_4FEF9F0C_4236_4853_B093_88FE2289FD26_.wvu.FilterData">'LV 4'!$A$1:$AB$29</definedName>
    <definedName hidden="1" localSheetId="6" name="Z_4FEF9F0C_4236_4853_B093_88FE2289FD26_.wvu.FilterData">'LV 5'!$A$1:$AB$18</definedName>
    <definedName hidden="1" localSheetId="7" name="Z_4FEF9F0C_4236_4853_B093_88FE2289FD26_.wvu.FilterData">'LV 6'!$A$1:$AB$23</definedName>
    <definedName hidden="1" localSheetId="8" name="Z_4FEF9F0C_4236_4853_B093_88FE2289FD26_.wvu.FilterData">'LV 7'!$A$1:$AB$14</definedName>
    <definedName hidden="1" localSheetId="9" name="Z_4FEF9F0C_4236_4853_B093_88FE2289FD26_.wvu.FilterData">'LV 8'!$A$1:$AB$20</definedName>
    <definedName hidden="1" localSheetId="10" name="Z_4FEF9F0C_4236_4853_B093_88FE2289FD26_.wvu.FilterData">'LV 9-10'!$A$1:$AB$21</definedName>
    <definedName hidden="1" localSheetId="11" name="Z_4FEF9F0C_4236_4853_B093_88FE2289FD26_.wvu.FilterData">'LV 11-16'!$A$1:$AB$19</definedName>
    <definedName hidden="1" localSheetId="12" name="Z_4FEF9F0C_4236_4853_B093_88FE2289FD26_.wvu.FilterData">'LV 17-30 &amp; Other'!$A$1:$AB$12</definedName>
    <definedName hidden="1" localSheetId="0" name="Z_7B4FF760_C879_4C05_8F10_45D59B7E7C3E_.wvu.FilterData">All!$A$4:$AB$243</definedName>
    <definedName hidden="1" localSheetId="2" name="Z_7B4FF760_C879_4C05_8F10_45D59B7E7C3E_.wvu.FilterData">'LV 0-1'!$A$1:$AB$25</definedName>
    <definedName hidden="1" localSheetId="3" name="Z_7B4FF760_C879_4C05_8F10_45D59B7E7C3E_.wvu.FilterData">'LV 2'!$A$1:$AB$35</definedName>
    <definedName hidden="1" localSheetId="4" name="Z_7B4FF760_C879_4C05_8F10_45D59B7E7C3E_.wvu.FilterData">'LV 3'!$A$1:$AB$34</definedName>
    <definedName hidden="1" localSheetId="5" name="Z_7B4FF760_C879_4C05_8F10_45D59B7E7C3E_.wvu.FilterData">'LV 4'!$A$1:$AB$29</definedName>
    <definedName hidden="1" localSheetId="6" name="Z_7B4FF760_C879_4C05_8F10_45D59B7E7C3E_.wvu.FilterData">'LV 5'!$A$1:$AB$18</definedName>
    <definedName hidden="1" localSheetId="7" name="Z_7B4FF760_C879_4C05_8F10_45D59B7E7C3E_.wvu.FilterData">'LV 6'!$A$1:$AB$23</definedName>
    <definedName hidden="1" localSheetId="8" name="Z_7B4FF760_C879_4C05_8F10_45D59B7E7C3E_.wvu.FilterData">'LV 7'!$A$1:$AB$14</definedName>
    <definedName hidden="1" localSheetId="9" name="Z_7B4FF760_C879_4C05_8F10_45D59B7E7C3E_.wvu.FilterData">'LV 8'!$A$1:$AB$20</definedName>
    <definedName hidden="1" localSheetId="10" name="Z_7B4FF760_C879_4C05_8F10_45D59B7E7C3E_.wvu.FilterData">'LV 9-10'!$A$1:$AB$21</definedName>
    <definedName hidden="1" localSheetId="11" name="Z_7B4FF760_C879_4C05_8F10_45D59B7E7C3E_.wvu.FilterData">'LV 11-16'!$A$1:$AB$19</definedName>
    <definedName hidden="1" localSheetId="12" name="Z_7B4FF760_C879_4C05_8F10_45D59B7E7C3E_.wvu.FilterData">'LV 17-30 &amp; Other'!$A$1:$AB$12</definedName>
    <definedName hidden="1" localSheetId="0" name="Z_51DCF084_7C01_403C_9896_1E7742DCA6B3_.wvu.FilterData">All!$A$4:$AB$243</definedName>
    <definedName hidden="1" localSheetId="2" name="Z_51DCF084_7C01_403C_9896_1E7742DCA6B3_.wvu.FilterData">'LV 0-1'!$A$1:$AB$25</definedName>
    <definedName hidden="1" localSheetId="3" name="Z_51DCF084_7C01_403C_9896_1E7742DCA6B3_.wvu.FilterData">'LV 2'!$A$1:$AB$35</definedName>
    <definedName hidden="1" localSheetId="4" name="Z_51DCF084_7C01_403C_9896_1E7742DCA6B3_.wvu.FilterData">'LV 3'!$A$1:$AB$34</definedName>
    <definedName hidden="1" localSheetId="5" name="Z_51DCF084_7C01_403C_9896_1E7742DCA6B3_.wvu.FilterData">'LV 4'!$A$1:$AB$29</definedName>
    <definedName hidden="1" localSheetId="6" name="Z_51DCF084_7C01_403C_9896_1E7742DCA6B3_.wvu.FilterData">'LV 5'!$A$1:$AB$18</definedName>
    <definedName hidden="1" localSheetId="7" name="Z_51DCF084_7C01_403C_9896_1E7742DCA6B3_.wvu.FilterData">'LV 6'!$A$1:$AB$23</definedName>
    <definedName hidden="1" localSheetId="8" name="Z_51DCF084_7C01_403C_9896_1E7742DCA6B3_.wvu.FilterData">'LV 7'!$A$1:$AB$14</definedName>
    <definedName hidden="1" localSheetId="9" name="Z_51DCF084_7C01_403C_9896_1E7742DCA6B3_.wvu.FilterData">'LV 8'!$A$1:$AB$20</definedName>
    <definedName hidden="1" localSheetId="10" name="Z_51DCF084_7C01_403C_9896_1E7742DCA6B3_.wvu.FilterData">'LV 9-10'!$A$1:$AB$21</definedName>
    <definedName hidden="1" localSheetId="11" name="Z_51DCF084_7C01_403C_9896_1E7742DCA6B3_.wvu.FilterData">'LV 11-16'!$A$1:$AB$19</definedName>
    <definedName hidden="1" localSheetId="12" name="Z_51DCF084_7C01_403C_9896_1E7742DCA6B3_.wvu.FilterData">'LV 17-30 &amp; Other'!$A$1:$AB$12</definedName>
    <definedName hidden="1" localSheetId="0" name="Z_5CDEC3B1_201F_4BAD_941F_A80E62A04015_.wvu.FilterData">All!$A$4:$AB$243</definedName>
    <definedName hidden="1" localSheetId="2" name="Z_5CDEC3B1_201F_4BAD_941F_A80E62A04015_.wvu.FilterData">'LV 0-1'!$A$1:$AB$25</definedName>
    <definedName hidden="1" localSheetId="3" name="Z_5CDEC3B1_201F_4BAD_941F_A80E62A04015_.wvu.FilterData">'LV 2'!$A$1:$AB$35</definedName>
    <definedName hidden="1" localSheetId="4" name="Z_5CDEC3B1_201F_4BAD_941F_A80E62A04015_.wvu.FilterData">'LV 3'!$A$1:$AB$34</definedName>
    <definedName hidden="1" localSheetId="5" name="Z_5CDEC3B1_201F_4BAD_941F_A80E62A04015_.wvu.FilterData">'LV 4'!$A$1:$AB$29</definedName>
    <definedName hidden="1" localSheetId="6" name="Z_5CDEC3B1_201F_4BAD_941F_A80E62A04015_.wvu.FilterData">'LV 5'!$A$1:$AB$18</definedName>
    <definedName hidden="1" localSheetId="7" name="Z_5CDEC3B1_201F_4BAD_941F_A80E62A04015_.wvu.FilterData">'LV 6'!$A$1:$AB$23</definedName>
    <definedName hidden="1" localSheetId="8" name="Z_5CDEC3B1_201F_4BAD_941F_A80E62A04015_.wvu.FilterData">'LV 7'!$A$1:$AB$14</definedName>
    <definedName hidden="1" localSheetId="9" name="Z_5CDEC3B1_201F_4BAD_941F_A80E62A04015_.wvu.FilterData">'LV 8'!$A$1:$AB$20</definedName>
    <definedName hidden="1" localSheetId="10" name="Z_5CDEC3B1_201F_4BAD_941F_A80E62A04015_.wvu.FilterData">'LV 9-10'!$A$1:$AB$21</definedName>
    <definedName hidden="1" localSheetId="11" name="Z_5CDEC3B1_201F_4BAD_941F_A80E62A04015_.wvu.FilterData">'LV 11-16'!$A$1:$AB$19</definedName>
    <definedName hidden="1" localSheetId="12" name="Z_5CDEC3B1_201F_4BAD_941F_A80E62A04015_.wvu.FilterData">'LV 17-30 &amp; Other'!$A$1:$AB$12</definedName>
    <definedName hidden="1" localSheetId="0" name="Z_7904D927_A127_473C_8B57_4EE1C7E3FAE9_.wvu.FilterData">All!$A$4:$AB$243</definedName>
    <definedName hidden="1" localSheetId="2" name="Z_7904D927_A127_473C_8B57_4EE1C7E3FAE9_.wvu.FilterData">'LV 0-1'!$A$1:$AB$25</definedName>
    <definedName hidden="1" localSheetId="3" name="Z_7904D927_A127_473C_8B57_4EE1C7E3FAE9_.wvu.FilterData">'LV 2'!$A$1:$AB$35</definedName>
    <definedName hidden="1" localSheetId="4" name="Z_7904D927_A127_473C_8B57_4EE1C7E3FAE9_.wvu.FilterData">'LV 3'!$A$1:$AB$34</definedName>
    <definedName hidden="1" localSheetId="5" name="Z_7904D927_A127_473C_8B57_4EE1C7E3FAE9_.wvu.FilterData">'LV 4'!$A$1:$AB$29</definedName>
    <definedName hidden="1" localSheetId="6" name="Z_7904D927_A127_473C_8B57_4EE1C7E3FAE9_.wvu.FilterData">'LV 5'!$A$1:$AB$18</definedName>
    <definedName hidden="1" localSheetId="7" name="Z_7904D927_A127_473C_8B57_4EE1C7E3FAE9_.wvu.FilterData">'LV 6'!$A$1:$AB$23</definedName>
    <definedName hidden="1" localSheetId="8" name="Z_7904D927_A127_473C_8B57_4EE1C7E3FAE9_.wvu.FilterData">'LV 7'!$A$1:$AB$14</definedName>
    <definedName hidden="1" localSheetId="9" name="Z_7904D927_A127_473C_8B57_4EE1C7E3FAE9_.wvu.FilterData">'LV 8'!$A$1:$AB$20</definedName>
    <definedName hidden="1" localSheetId="10" name="Z_7904D927_A127_473C_8B57_4EE1C7E3FAE9_.wvu.FilterData">'LV 9-10'!$A$1:$AB$21</definedName>
    <definedName hidden="1" localSheetId="11" name="Z_7904D927_A127_473C_8B57_4EE1C7E3FAE9_.wvu.FilterData">'LV 11-16'!$A$1:$AB$19</definedName>
    <definedName hidden="1" localSheetId="12" name="Z_7904D927_A127_473C_8B57_4EE1C7E3FAE9_.wvu.FilterData">'LV 17-30 &amp; Other'!$A$1:$AB$12</definedName>
    <definedName hidden="1" localSheetId="0" name="Z_6B2E9E35_D6A1_4749_95F2_2658A691119A_.wvu.FilterData">All!$A$4:$AB$243</definedName>
    <definedName hidden="1" localSheetId="2" name="Z_6B2E9E35_D6A1_4749_95F2_2658A691119A_.wvu.FilterData">'LV 0-1'!$A$1:$AB$25</definedName>
    <definedName hidden="1" localSheetId="3" name="Z_6B2E9E35_D6A1_4749_95F2_2658A691119A_.wvu.FilterData">'LV 2'!$A$1:$AB$35</definedName>
    <definedName hidden="1" localSheetId="4" name="Z_6B2E9E35_D6A1_4749_95F2_2658A691119A_.wvu.FilterData">'LV 3'!$A$1:$AB$34</definedName>
    <definedName hidden="1" localSheetId="5" name="Z_6B2E9E35_D6A1_4749_95F2_2658A691119A_.wvu.FilterData">'LV 4'!$A$1:$AB$29</definedName>
    <definedName hidden="1" localSheetId="6" name="Z_6B2E9E35_D6A1_4749_95F2_2658A691119A_.wvu.FilterData">'LV 5'!$A$1:$AB$18</definedName>
    <definedName hidden="1" localSheetId="7" name="Z_6B2E9E35_D6A1_4749_95F2_2658A691119A_.wvu.FilterData">'LV 6'!$A$1:$AB$23</definedName>
    <definedName hidden="1" localSheetId="8" name="Z_6B2E9E35_D6A1_4749_95F2_2658A691119A_.wvu.FilterData">'LV 7'!$A$1:$AB$14</definedName>
    <definedName hidden="1" localSheetId="9" name="Z_6B2E9E35_D6A1_4749_95F2_2658A691119A_.wvu.FilterData">'LV 8'!$A$1:$AB$20</definedName>
    <definedName hidden="1" localSheetId="10" name="Z_6B2E9E35_D6A1_4749_95F2_2658A691119A_.wvu.FilterData">'LV 9-10'!$A$1:$AB$21</definedName>
    <definedName hidden="1" localSheetId="11" name="Z_6B2E9E35_D6A1_4749_95F2_2658A691119A_.wvu.FilterData">'LV 11-16'!$A$1:$AB$19</definedName>
    <definedName hidden="1" localSheetId="12" name="Z_6B2E9E35_D6A1_4749_95F2_2658A691119A_.wvu.FilterData">'LV 17-30 &amp; Other'!$A$1:$AB$12</definedName>
  </definedNames>
  <calcPr/>
  <customWorkbookViews>
    <customWorkbookView activeSheetId="0" maximized="1" windowHeight="0" windowWidth="0" guid="{4FEF9F0C-4236-4853-B093-88FE2289FD26}" name="Core Rules Monsters"/>
    <customWorkbookView activeSheetId="0" maximized="1" windowHeight="0" windowWidth="0" guid="{7B4FF760-C879-4C05-8F10-45D59B7E7C3E}" name="Cursed Scrolls 3 Monsters"/>
    <customWorkbookView activeSheetId="0" maximized="1" windowHeight="0" windowWidth="0" guid="{51DCF084-7C01-403C-9896-1E7742DCA6B3}" name="All Monsters"/>
    <customWorkbookView activeSheetId="0" maximized="1" windowHeight="0" windowWidth="0" guid="{5CDEC3B1-201F-4BAD-941F-A80E62A04015}" name="Cursed Scrolls 1 Monsters"/>
    <customWorkbookView activeSheetId="0" maximized="1" windowHeight="0" windowWidth="0" guid="{7904D927-A127-473C-8B57-4EE1C7E3FAE9}" name="Monster Monday Monsters"/>
    <customWorkbookView activeSheetId="0" maximized="1" windowHeight="0" windowWidth="0" guid="{6B2E9E35-D6A1-4749-95F2-2658A691119A}" name="Cursed Scrolls 2 Monsters"/>
  </customWorkbookViews>
</workbook>
</file>

<file path=xl/sharedStrings.xml><?xml version="1.0" encoding="utf-8"?>
<sst xmlns="http://schemas.openxmlformats.org/spreadsheetml/2006/main" count="4350" uniqueCount="1149">
  <si>
    <t>Shadowdark Monster-making zine available NOW!</t>
  </si>
  <si>
    <t>Join the newsletter for a free Shadowdark adventure!</t>
  </si>
  <si>
    <t>Last Updated July 2nd, 2025</t>
  </si>
  <si>
    <t>Monster</t>
  </si>
  <si>
    <t>5e CR</t>
  </si>
  <si>
    <t>Source</t>
  </si>
  <si>
    <t>Flavor Text</t>
  </si>
  <si>
    <t>AC</t>
  </si>
  <si>
    <t>HP</t>
  </si>
  <si>
    <t>ATK</t>
  </si>
  <si>
    <t>MV</t>
  </si>
  <si>
    <t>S</t>
  </si>
  <si>
    <t>D</t>
  </si>
  <si>
    <t>C</t>
  </si>
  <si>
    <t>I</t>
  </si>
  <si>
    <t>W</t>
  </si>
  <si>
    <t>Ch</t>
  </si>
  <si>
    <t>AL</t>
  </si>
  <si>
    <t>LV</t>
  </si>
  <si>
    <t>Talent 1</t>
  </si>
  <si>
    <t>Talent 2</t>
  </si>
  <si>
    <t>Talent 3</t>
  </si>
  <si>
    <t>Talent 4</t>
  </si>
  <si>
    <t>Talent 5</t>
  </si>
  <si>
    <t>Talent 6</t>
  </si>
  <si>
    <t>Talent 7</t>
  </si>
  <si>
    <t>Talent 8</t>
  </si>
  <si>
    <t>Talent 9</t>
  </si>
  <si>
    <t>Talent 10</t>
  </si>
  <si>
    <t>Aboleth</t>
  </si>
  <si>
    <t>CR</t>
  </si>
  <si>
    <t>Enormous, antediluvian catfish covered in slime and tentacles. They hate all intelligent beings.</t>
  </si>
  <si>
    <t>2 tentacle (near) +5 (1d8 + curse) or 1 tail +5 (3d6)</t>
  </si>
  <si>
    <t>near (swim)</t>
  </si>
  <si>
    <t>Curse: DC 15 CON or target gains a magical curse, turning into a deep one over 2d10 days.</t>
  </si>
  <si>
    <t>Enslave: In place of attacks, one creature within far DC 15 WIS or aboleth controls for 1d4 rounds.</t>
  </si>
  <si>
    <t>Telepathic: Read the thoughts of all creatures within far.</t>
  </si>
  <si>
    <t>Acolyte</t>
  </si>
  <si>
    <t>A religious trainee who knows basic rites and rituals.</t>
  </si>
  <si>
    <t>1 mace +1 (1d6) or 1 spell +2</t>
  </si>
  <si>
    <t>near</t>
  </si>
  <si>
    <t>L</t>
  </si>
  <si>
    <t>Healing Touch (WIS Spell): DC 11. Heal one creature within close for 1d4 HP.</t>
  </si>
  <si>
    <t>Angel, Archangel</t>
  </si>
  <si>
    <t/>
  </si>
  <si>
    <t>A radiant being with a crown of fire, snowy wings, golden armor, and a blazing greatsword.</t>
  </si>
  <si>
    <t>18 (+3 plate mail)</t>
  </si>
  <si>
    <t>3 flaming greatsword +10 (2d12)</t>
  </si>
  <si>
    <t>double near (fly)</t>
  </si>
  <si>
    <t>Command: DC 18 CHA to resist an archangel's command.</t>
  </si>
  <si>
    <t>Crown of Fire: Hostile spells targeting the archangel are extreme (DC 18) to cast.</t>
  </si>
  <si>
    <t>Angel, Domini</t>
  </si>
  <si>
    <t>Winged, flawless humans glowing with bronze sunlight.</t>
  </si>
  <si>
    <t>17 (plate mail + shield)</t>
  </si>
  <si>
    <t>3 bastard sword +7 (1d8) or 1 horn</t>
  </si>
  <si>
    <t>near (fly)</t>
  </si>
  <si>
    <t>Horn: All enemies in near DC 15 CHA or paralyzed 1d4 rounds.</t>
  </si>
  <si>
    <t>Angel, Principi</t>
  </si>
  <si>
    <t>Serene humans sculpted from alabaster. Golden orbs for eyes.</t>
  </si>
  <si>
    <t>16 (+1 plate mail)</t>
  </si>
  <si>
    <t>3 silvered bastard sword +9 (1d10)</t>
  </si>
  <si>
    <t>Moonlight Aura: Hostile spells targeting the principi are DC 15.</t>
  </si>
  <si>
    <t>Truesight: Can see all invisible creatures and objects.</t>
  </si>
  <si>
    <t>Angel, Seraph</t>
  </si>
  <si>
    <t>Beautiful, luminous humanoids with white-feathered wings.</t>
  </si>
  <si>
    <t>14 (chainmail)</t>
  </si>
  <si>
    <t>2 longsword +3 (1d8)</t>
  </si>
  <si>
    <t>Bless: 3/day, touch one target to give it a luck token.</t>
  </si>
  <si>
    <t>Animated Armor</t>
  </si>
  <si>
    <t>An old suit of armor magically animated by a</t>
  </si>
  <si>
    <t>1 longsword +3 (1d8)</t>
  </si>
  <si>
    <t>Statue. When standing still, looks exactly like a suit of armor.</t>
  </si>
  <si>
    <t>Ankheg</t>
  </si>
  <si>
    <t>Horse-sized, rust-brown insects. They burrow vast, underground warrens into the bedrock.</t>
  </si>
  <si>
    <t>1 bite +4 (1d6) or 1 acid spray (near) +4 (2d6)</t>
  </si>
  <si>
    <t>near (burrow)</t>
  </si>
  <si>
    <t>N</t>
  </si>
  <si>
    <t>Ape</t>
  </si>
  <si>
    <t>Hooting, omnivorous apes that live in trees.</t>
  </si>
  <si>
    <t>1 fist +2 (1d6) or 1 rock (far) +2 (1d4)</t>
  </si>
  <si>
    <t>near (climb)</t>
  </si>
  <si>
    <t>Ape, Snow</t>
  </si>
  <si>
    <t>White-haired, carnivorous gorillas that stalk</t>
  </si>
  <si>
    <t>2 fist +4 (1d6) or 1 rock (far) +4 (2d6)</t>
  </si>
  <si>
    <t>Thick Fur. Cold immune.</t>
  </si>
  <si>
    <t>Apprentice</t>
  </si>
  <si>
    <t>A cloaked magician with a thin, freshly bound</t>
  </si>
  <si>
    <t>1 dagger (close/near) +1 (1d4) or 1 spell +2</t>
  </si>
  <si>
    <t>Beguile (INT Spell). DC 11. Focus. One target in near of LV 2 or less is stupefied for the duration.</t>
  </si>
  <si>
    <t>Magic Bolt (INT Spell). DC 11. 1d4 damage to one target within far.</t>
  </si>
  <si>
    <t>Archmage</t>
  </si>
  <si>
    <t>A wizened magic-user crackling with arcane power.</t>
  </si>
  <si>
    <t>2 spell +7</t>
  </si>
  <si>
    <t>Death Bolt (INT Spell). DC 15. One target of LV 9 or less within near DC 15 CON or go to 0 HP.</t>
  </si>
  <si>
    <t>Enervate (INT Spell). DC 14. Focus. One target within near is stupefied for the duration.</t>
  </si>
  <si>
    <t>Fireblast (INT Spell). DC 14. 4d6 damage to all within a near-sized cube within far.</t>
  </si>
  <si>
    <t xml:space="preserve">Float (INT Spell). Self. DC 14. Fly double near for 5 rounds. </t>
  </si>
  <si>
    <t xml:space="preserve">Mithralskin (INT Spell). Self. DC 14. AC becomes 18 for 5 rounds. </t>
  </si>
  <si>
    <t>Void Step (INT Spell). Self and up to 4 willing targets. DC 15. Teleport up to 100 miles.</t>
  </si>
  <si>
    <t>Assassin</t>
  </si>
  <si>
    <t>A black-cloaked, skulking killer.</t>
  </si>
  <si>
    <t>2 poisoned dagger (close/near) +6 (2d4)</t>
  </si>
  <si>
    <t>Execute. Deals x3 damage against surprised targets.</t>
  </si>
  <si>
    <t>Azer</t>
  </si>
  <si>
    <t>Dwarves with bronze, metallic skin and flames for hair.</t>
  </si>
  <si>
    <t>2 flaming warhammer +3 (1d10, ignites flammables) or 1 crossbow (far) +0 (1d6)</t>
  </si>
  <si>
    <t>Impervious. Fire immune.</t>
  </si>
  <si>
    <t>Badger</t>
  </si>
  <si>
    <t>Fierce, clawed burrowers with black-and-white face stripes</t>
  </si>
  <si>
    <t>2 claw +2 (1d4)</t>
  </si>
  <si>
    <t>Rage. 1/day, immune to morale checks, +1d4 damage (3 rounds).</t>
  </si>
  <si>
    <t>Bandit</t>
  </si>
  <si>
    <t>Hard-bitten rogue in tattered leathers and a hooded cloak.</t>
  </si>
  <si>
    <t>1 club +1 (1d4) or 1 shortbow (far) +0 (1d4)</t>
  </si>
  <si>
    <t>Ambush. Deal an extra die of damage when undetected.</t>
  </si>
  <si>
    <t>Basilisk</t>
  </si>
  <si>
    <t>Massive, muscled lizards with six legs and gray, tough hide.</t>
  </si>
  <si>
    <t>2 bite +4 (2d6 + petrify)</t>
  </si>
  <si>
    <t>Petrify. Any creature that touches the basilisk or meets its gaze, DC 15 CON or petrified.</t>
  </si>
  <si>
    <t>Bat, Giant</t>
  </si>
  <si>
    <t>Leathery, eagle-sized mammal with a taste for flesh.</t>
  </si>
  <si>
    <t>1 bite +2 (1d6)</t>
  </si>
  <si>
    <t>Bat, Swarm</t>
  </si>
  <si>
    <t>A whirling cloud of screeching, bloodthirsty bats.</t>
  </si>
  <si>
    <t>3 bite +2 (1d6)</t>
  </si>
  <si>
    <t>Bear, Brown</t>
  </si>
  <si>
    <t>A hulking, swaying brute with claws as long as a finger.</t>
  </si>
  <si>
    <t>2 claw +4 (1d8)</t>
  </si>
  <si>
    <t>Crush. Deals an extra die of damage if it hits the same target with both claws.</t>
  </si>
  <si>
    <t>Bear, Polar</t>
  </si>
  <si>
    <t>A mighty, white bear that thrives in arctic environments.</t>
  </si>
  <si>
    <t>2 claw +6 (2d6)</t>
  </si>
  <si>
    <t>Beastman</t>
  </si>
  <si>
    <t>A cave hominid with scraggly fur and a stone-tipped spear.</t>
  </si>
  <si>
    <t>12 (leather)</t>
  </si>
  <si>
    <t>1 spear (close/near) +2 (1d6 + 1)</t>
  </si>
  <si>
    <t>Brutal. +1 damage with melee weapons (included).</t>
  </si>
  <si>
    <t>Berserker</t>
  </si>
  <si>
    <t>Howling, battleraging warriors.</t>
  </si>
  <si>
    <t>greataxe +2 (1d10) or 1 spear
(close/near) +2 (1d6)</t>
  </si>
  <si>
    <t>Black Pudding</t>
  </si>
  <si>
    <t>A black, ice-cold mass of sludge.</t>
  </si>
  <si>
    <t>3 tentacle +4 (2d6)</t>
  </si>
  <si>
    <t>Impervious. Only damaged by fire.</t>
  </si>
  <si>
    <t>Corrosive. Wood or metal that touches the ooze dissolves on a d6 roll of 1-3.</t>
  </si>
  <si>
    <t>Boar</t>
  </si>
  <si>
    <t>Ornery wild pig with bristly, russet hair and yellowed tusks.</t>
  </si>
  <si>
    <t>2 tusk +3 (1d6)</t>
  </si>
  <si>
    <t>Gore. Deals an extra die of damage if it hits the same target with both tusks.</t>
  </si>
  <si>
    <t>Brain Eater</t>
  </si>
  <si>
    <t>Purple, gaunt humanoids with squidlike heads and four face tentacles.</t>
  </si>
  <si>
    <t>4 tentacle +5 (1d8 + latch) or 1 mind
blast or 1 mind control</t>
  </si>
  <si>
    <t xml:space="preserve">Hear Thoughts. Can hear the surface thoughts of all intelligent creatures within near. </t>
  </si>
  <si>
    <t>Latch. Tentacles attach to hit targets, automatically hitting the next round (DC 12 STR to remove 1d4 tentacles). If all four remain latched onto the same humanoid target for 1 round, the target's brain is ripped out and devoured.</t>
  </si>
  <si>
    <t>Mind Blast. Fills a near-sized cube extending from brain eater. DC 15 INT or 3d6 damage and paralyzed 1d4 rounds.</t>
  </si>
  <si>
    <t>Mind Control. One target in near DC 15 CHA or brain eater controls for 1d4 rounds.</t>
  </si>
  <si>
    <t>Bugbear</t>
  </si>
  <si>
    <t>Brutish, bat-eared goblinoids covered in brown fur.</t>
  </si>
  <si>
    <t>2 spiked mace +3 (1d6)</t>
  </si>
  <si>
    <t>Stealthy. ADV on checks to sneak and hide.</t>
  </si>
  <si>
    <t>Bulette</t>
  </si>
  <si>
    <t>A hulking, shark-sized lizard with a steely, arrow-shaped carapace and a massive gullet.</t>
  </si>
  <si>
    <t>3 bite +5 (2d6) or 1 leap</t>
  </si>
  <si>
    <t>Leap. Jump up to near in height and double near in distance, then make 2 bite attacks.</t>
  </si>
  <si>
    <t>Camel</t>
  </si>
  <si>
    <t>Ornery, tan-furred desert beasts.</t>
  </si>
  <si>
    <t>1 hoof +3 (1d6) or 1 spit</t>
  </si>
  <si>
    <t>double near</t>
  </si>
  <si>
    <t>Cave Brute</t>
  </si>
  <si>
    <t>A hulking, insectoid beast with
long mandibles, four eyes, and
thick arms covered in bristles.</t>
  </si>
  <si>
    <t>2 claw +5 (1d8) and 1 mandible +5 (1d10)</t>
  </si>
  <si>
    <t>Bewilder. Creatures within near that see the cave brute's eyes, DC 12 CHA at start of their turn or dazed and no action.</t>
  </si>
  <si>
    <t>Cave Creeper</t>
  </si>
  <si>
    <t>Chittering, green centipedes the
size of horses. Their grasping
tentacles are coated in a
paralytic venom.</t>
  </si>
  <si>
    <t>1 bite +3 (1d6) and 1 tentacles +3 (1d8 + toxin)</t>
  </si>
  <si>
    <t>Toxin. DC 12 CON or paralyzed 1d4 rounds.</t>
  </si>
  <si>
    <t>Centaur</t>
  </si>
  <si>
    <t>Herd-dwelling beings with the
upper body of a human and
lower body of a horse.</t>
  </si>
  <si>
    <t>2 spear (close/near) +2 (1d6) or 1 longbow (far) +1 (1d8)</t>
  </si>
  <si>
    <t>Centipede, Giant</t>
  </si>
  <si>
    <t>Blood-red, feathery centipedes the size of a human arm. Their bite injects a burning poison that cramps muscles.</t>
  </si>
  <si>
    <t>1 bite +1 (1d4 + poison)</t>
  </si>
  <si>
    <t>Poison. DC 12 CON or paralyzed 1d4 rounds.</t>
  </si>
  <si>
    <t>Centipede, Swarm</t>
  </si>
  <si>
    <t>A crawling mass of weaving, sinuous centipedes.</t>
  </si>
  <si>
    <t>3 bite +1 (1d4 + poison)</t>
  </si>
  <si>
    <t>Chimera</t>
  </si>
  <si>
    <t>A monstrous beast with a half-goat, half-lion body, wide dragon wings, and the heads of a goat, lion, and dragon.</t>
  </si>
  <si>
    <t>4 rend +7 (2d8) and 1 fire breath</t>
  </si>
  <si>
    <t>Fire Breath. Fills a near-sized cube extending from chimera. DC 15 DEX or 4d6 damage.</t>
  </si>
  <si>
    <t>Chuul</t>
  </si>
  <si>
    <t>Brown, horse-sized lobster bugs with tentacles and pincers.</t>
  </si>
  <si>
    <t>2 pincer +4 (1d8 + grab)</t>
  </si>
  <si>
    <t>Grab. DC 15 STR or held in pincer. DC 15 STR to break free on turn.</t>
  </si>
  <si>
    <t>Cloaker</t>
  </si>
  <si>
    <t>A midnight blue manta ray with a bony tail and crescent-shaped maw above its belly. It swoops through deep, lightless caverns.</t>
  </si>
  <si>
    <t>3 lash +4 (1d8) or 1 screech</t>
  </si>
  <si>
    <t>Phantoms. 1/day, in place of attacks. Create 3 illusory duplicates that disappear when hit. Determine randomly if an attack hits cloaker or illusions.</t>
  </si>
  <si>
    <t>Screech. Enemies within double near DC 15 WIS or DISADV on attacks and checks 1d4 rounds.</t>
  </si>
  <si>
    <t>Cockatrice</t>
  </si>
  <si>
    <t>A molting, lizard-chicken hybrid with a crimson, razorlike crest.</t>
  </si>
  <si>
    <t>1 bite +1 (1d4 + petrify)</t>
  </si>
  <si>
    <t>Petrify. DC 12 CON or petrified.</t>
  </si>
  <si>
    <t>Couatl</t>
  </si>
  <si>
    <t>A human-sized snake with scales made of jewels and a corona of iridescent feathers.</t>
  </si>
  <si>
    <t>3 bite +6 (2d6 + poison)</t>
  </si>
  <si>
    <t>Change Shape. In place of attacks, transform into any similarly-sized creature.</t>
  </si>
  <si>
    <t>Poison. DC 15 CON or fall into natural, deep sleep for 1d8 hours.</t>
  </si>
  <si>
    <t>Restore. In place of attacks, touch one creature to remove a curse, affliction, or heal 3d8 HP.</t>
  </si>
  <si>
    <t>Crab, Giant</t>
  </si>
  <si>
    <t>A wagon-sized, armored crab with two crushing pincers.</t>
  </si>
  <si>
    <t>2 pincer +4 (1d8 + crush)</t>
  </si>
  <si>
    <t>Crush. DC 15 STR or target takes 1d8 damage.</t>
  </si>
  <si>
    <t>Crocodile</t>
  </si>
  <si>
    <t>Fat, scaly reptiles with stumpy legs and long, thrashing tails.</t>
  </si>
  <si>
    <t>2 bite +3 (1d8)</t>
  </si>
  <si>
    <t>Cultist</t>
  </si>
  <si>
    <t>A cloaked, wild-eyed zealot chanting the guttural prayers of a dark god.</t>
  </si>
  <si>
    <t>14 (chainmail + shield)</t>
  </si>
  <si>
    <t>1 longsword +1 (1d8) or 1 spell +2</t>
  </si>
  <si>
    <t>Fearless. Immune to morale checks.</t>
  </si>
  <si>
    <t>Deathtouch (WIS Spell). DC 12. 2d4 damage to one creature within close.</t>
  </si>
  <si>
    <t>Cyclops</t>
  </si>
  <si>
    <t>Reclusive, one-eyed giants towering 20' high. They live simply on remote farmlands.</t>
  </si>
  <si>
    <t>11 (leather)</t>
  </si>
  <si>
    <t>2 greatclub +7 (2d8) or 1 rock (far) +5 (1d12)</t>
  </si>
  <si>
    <t>Darkmantle</t>
  </si>
  <si>
    <t>A floating, black octopus with rows of red eyes and a webbed skirt of tentacles.</t>
  </si>
  <si>
    <t>1 bite +3 (1d4) or 1 darkness</t>
  </si>
  <si>
    <t>Darkness. Extinguish all light sources in near.</t>
  </si>
  <si>
    <t>Deep One</t>
  </si>
  <si>
    <t>Cultish, amphibious fish-people with bulbous eyes. They lurk in deep water and sunless caverns.</t>
  </si>
  <si>
    <t>2 spear (close/near) +2 (1d6)</t>
  </si>
  <si>
    <t>Sunblind. Blinded in bright light.</t>
  </si>
  <si>
    <t>Demon, Balor</t>
  </si>
  <si>
    <t>Colossal, horned bat-beasts wreathed in the flames of hell itself. Their mighty swords and cracking whips of fire can slice through stone.</t>
  </si>
  <si>
    <t>3 greatsword +10 (2d12 + hellfire) and 1 fire
whip (near) +10 (2d6 + grab),</t>
  </si>
  <si>
    <t>Impervious. Fire immune. Only damaged by magical sources.</t>
  </si>
  <si>
    <t>Grab. DC 18 STR or target bound in whip. 2d6 damage per round held, DC 18 STR to break free on turn. In place of fire whip attack, balor can fling a grabbed target double near on its turn.</t>
  </si>
  <si>
    <t>Hellfire. DC 18 DEX or 2d8 damage per round until flames extinguished.</t>
  </si>
  <si>
    <t>Demon, Dretch</t>
  </si>
  <si>
    <t>Green, pig-faced demons with thick claws and an oily stench.</t>
  </si>
  <si>
    <t>1 claw +2 (1d6)</t>
  </si>
  <si>
    <t>Gas. All in near DC 12 CON or blinded for 1d4 rounds.</t>
  </si>
  <si>
    <t>Demon, Glabrezu</t>
  </si>
  <si>
    <t xml:space="preserve">Horse-headed, fanged creatures
who walk upright and have four
arms; two shriveled, and two
ending in hulking pincers. </t>
  </si>
  <si>
    <t>2 pincer +7 (2d8 + crush)</t>
  </si>
  <si>
    <t>Crush. DC 15 STR or target takes
2d8 damage.</t>
  </si>
  <si>
    <t>Demon, Marilith</t>
  </si>
  <si>
    <t>Hissing, armored women with six limbs and the lower bodies of giant snakes. Six whirling blades flash in their hands.</t>
  </si>
  <si>
    <t>6 longsword +7 (1d8)</t>
  </si>
  <si>
    <t>Parry. Trade 2 longsword attacks next round to deflect a melee attack that would hit.</t>
  </si>
  <si>
    <t>Demon, Vrock</t>
  </si>
  <si>
    <t>Wagon-sized, filthy vultures with four limbs, midnight-blue skin, and a rash of mangy feathers.</t>
  </si>
  <si>
    <t>2 talons +4 (1d8)</t>
  </si>
  <si>
    <t>Carrion Mist. Each time vrock hit, 3:6 chance of carrion mist in near-sized cube centered on vrock. All enemies DC 15 CON or violent vomiting 1d4 rounds.</t>
  </si>
  <si>
    <t>Screech. All enemies in double near DC 12 WIS or DISADV on checks and attacks for 1d4 rounds.</t>
  </si>
  <si>
    <t>Devil, Archdevil</t>
  </si>
  <si>
    <t>A stunningly beautiful, horned human with burning, red eyes and a halo of seven black stars. Two stitched-up gashes weep blood from its shoulder blades.</t>
  </si>
  <si>
    <t>4 iron scepter +10 (3d10) or 1 soulbind</t>
  </si>
  <si>
    <t>far (teleport)</t>
  </si>
  <si>
    <t>Crown of Darkness. All hostile spells are reflected at caster with a spellcasting check less than 20.</t>
  </si>
  <si>
    <t>Soulbind. All targets within near DC 20 CHA or fall under control of archdevil for 1d4 rounds. DC 20 CHA each turn to end the effect.</t>
  </si>
  <si>
    <t>Devil, Barbed</t>
  </si>
  <si>
    <t>Lanky, green-mottled fiends bristling with hooked spines.</t>
  </si>
  <si>
    <t>2 spine (near) +3 (1d6 + barb) or 1 fire blast (far) +3 (1d8)</t>
  </si>
  <si>
    <t>Barb. Each spine sticks, dealing 1d4 damage each round. DC 12 STR check on turn to remove.</t>
  </si>
  <si>
    <t>Devil, Cubi</t>
  </si>
  <si>
    <t>Entrancing humanoids with bat wings and devilish charm.</t>
  </si>
  <si>
    <t>1 kiss +4 (1d6 + drain) or 1 charm</t>
  </si>
  <si>
    <t>Change Shape. In place of attacks, transform into any similarly-sized humanoid.</t>
  </si>
  <si>
    <t>Charm. One humanoid in near DC 15 CHA or bewitched by cubi for 1d6 hours.</t>
  </si>
  <si>
    <t>Drain. The target takes 1d6 temporary WIS damage. A target reduced to 0 WIS this way swears its soul to an archdevil.</t>
  </si>
  <si>
    <t>Devil, Erinyes</t>
  </si>
  <si>
    <t>Raven-winged, resplendent beings in polished, black armor and helms with curved horns.</t>
  </si>
  <si>
    <t>17 (+1 plate mail)</t>
  </si>
  <si>
    <t>3 greatsword +8 (1d12) or 2 longbow (far) +8 (1d8 + poison)</t>
  </si>
  <si>
    <t>Poison. DC 15 CON or target's eyes go jet black and it turns on its allies for 1d4 rounds. DC 15 WIS on turn to end effect.</t>
  </si>
  <si>
    <t>Devil, Horned</t>
  </si>
  <si>
    <t>Iron-scaled hellions as big as ogres with weighty ram horns, lashing tails, and leathery wings. They are opportunistic and craven in battle.</t>
  </si>
  <si>
    <t>2 burning trident (near) +7 (2d6) or 1 fire blast (far) +4 (2d8)</t>
  </si>
  <si>
    <t>Iron Hide. Half damage from non-magical weapons.</t>
  </si>
  <si>
    <t>Devil, Imp</t>
  </si>
  <si>
    <t>Cat-sized, red devils with oversized wings and tail, tiny horns, and cowardly demeanors.</t>
  </si>
  <si>
    <t>1 stinger +3 (1d4 + poison)</t>
  </si>
  <si>
    <t>Contract. Can grant mighty boons and patronage on behalf of an archdevil in exchange for a sworn soul. ADV on related Charisma checks.</t>
  </si>
  <si>
    <t>Poison. DC 12 CON or fitful sleep for 1d4 hours.</t>
  </si>
  <si>
    <t>Dinosaur, Brachiosaurus</t>
  </si>
  <si>
    <t>Colossal, long-necked tree grazers. Slow and peaceful.</t>
  </si>
  <si>
    <t>3 stomp +7 (2d10)</t>
  </si>
  <si>
    <t>Dinosaur, Plesiosaurus</t>
  </si>
  <si>
    <t>Aquatic reptiles as big as elephants. Flat flippers and narrow, toothy maws on long necks.</t>
  </si>
  <si>
    <t>2 bite +5 (2d8)</t>
  </si>
  <si>
    <t>double near (swim)</t>
  </si>
  <si>
    <t>Dinosaur, Pterodactyl</t>
  </si>
  <si>
    <t>Long-beaked beasts with wide, triangular wings. Large enough to carry off a human.</t>
  </si>
  <si>
    <t>2 beak +4 (1d8 + grab)</t>
  </si>
  <si>
    <t>Grab. DC 15 STR or held. DC 15 STR on turn to break free.</t>
  </si>
  <si>
    <t>Dinosaur, Triceratops</t>
  </si>
  <si>
    <t>Plodding herbivores with a wide, bony skull frill and three horns.</t>
  </si>
  <si>
    <t>2 horns +6 (1d10) or 1 charge</t>
  </si>
  <si>
    <t>Charge. Move up to double near in straight line and make 1 horn attack. If hit, x3 damage.</t>
  </si>
  <si>
    <t>Dinosaur, Tyrannosaurus</t>
  </si>
  <si>
    <t>Towering, bipedal lizards with a massive head, jaws, and neck.</t>
  </si>
  <si>
    <t>3 bite +8 (2d12)</t>
  </si>
  <si>
    <t>Dinosaur, Velociraptor</t>
  </si>
  <si>
    <t>Fast, turkey-sized raptors with vicious toe claws. Pack hunters.</t>
  </si>
  <si>
    <t>1 claw +3 (1d6)</t>
  </si>
  <si>
    <t>Clever. +1d4 damage when attacking with surprise.</t>
  </si>
  <si>
    <t>Djinni</t>
  </si>
  <si>
    <t>Azure-blue, jovial humanoids made of air and wind</t>
  </si>
  <si>
    <t>3 scimitar +7 (1d12) or 1 whirlwind</t>
  </si>
  <si>
    <t>Impervious. Only damaged by magical sources.</t>
  </si>
  <si>
    <t>Whirlwind. Transform into a lashing tornado. All enemies within near DC 18 DEX or thrown 2d100 feet in a random direction.</t>
  </si>
  <si>
    <t>Wish. Cast wish once per week for a mortal without making a spellcasting check.</t>
  </si>
  <si>
    <t>Doppelganger</t>
  </si>
  <si>
    <t>Gray, featureless humanoids sowing chaos</t>
  </si>
  <si>
    <t>1 dagger (close/near) +2 (1d4)</t>
  </si>
  <si>
    <t>Telepathy. Can secretly hear the surface thoughts of all humanoids within near</t>
  </si>
  <si>
    <t>Dragon, Desert</t>
  </si>
  <si>
    <t>The smell of ozone precedes this desert-dwelling dragon. Its dazzling scales of brass and lapis lazuli shimmer in the baking heat.</t>
  </si>
  <si>
    <t>3 rend +9 (2d10) or 1 lightning breath</t>
  </si>
  <si>
    <t>Stormblood. Electricity immune.</t>
  </si>
  <si>
    <t>Lightning Breath. A straight line (5' wide) extending double near from dragon. DC 15 DEX or 4d8 damage (DISADV on check if wearing metal armor).</t>
  </si>
  <si>
    <t>Mirage. 1/day, in place of attacks. Create 3 illusory duplicates that disappear when hit. Determine randomly if an attack hits dragon or illusions.</t>
  </si>
  <si>
    <t>Dragon, Fire</t>
  </si>
  <si>
    <t>Blood-red scales cover the hide of this mighty, volcanic wyrm. Leaping flames glow at the back of its throat.</t>
  </si>
  <si>
    <t>4 rend +11 (2d12) or 1 fire breath</t>
  </si>
  <si>
    <t>Fireblood. Fire immune.</t>
  </si>
  <si>
    <t>Fire Breath. Fills a double near-sized cube extending from dragon. DC 15 DEX or 6d10 damage.</t>
  </si>
  <si>
    <t>Dragon, Forest</t>
  </si>
  <si>
    <t>The smell of wet loam follows this dragon. Its jade scales bristle with barbed thorns.</t>
  </si>
  <si>
    <t>3 rend +8 (2d8) or 1 poison breath</t>
  </si>
  <si>
    <t>Animate Plants. 1/day, in place of attacks. Vines grab at all enemies within double near of dragon. DC 15 DEX or unable to move 1d4 rounds.</t>
  </si>
  <si>
    <t>Poison Breath. Fills a near-sized cube extending from dragon. DC 15 CON or 3d8 damage.</t>
  </si>
  <si>
    <t>Dragon, Frost</t>
  </si>
  <si>
    <t>Prismatic ice lines the horns, spines, and wings of this pearly dragon. Clouds of steam hiss from its ice-rimed jaws.</t>
  </si>
  <si>
    <t>4 rend +9 (2d10) or 1 ice breath</t>
  </si>
  <si>
    <t>Frostblood. Cold immune.</t>
  </si>
  <si>
    <t>Ice Breath. Fills a double near-sized cube extending from dragon. DC 15 DEX or 4d8 damage and frozen for 1 round.</t>
  </si>
  <si>
    <t>Dragon, Sea</t>
  </si>
  <si>
    <t>A warm sea breeze blows around this amphibious, gold-scaled wyrm. A beard of tendrils covers its snout, and a blue mane billows along its neck.</t>
  </si>
  <si>
    <t>4 rend +10 (2d10) or 1 steam breath or 1 water spout</t>
  </si>
  <si>
    <t>double near (fly, swim)</t>
  </si>
  <si>
    <t>Steam Breath. Fills a double near-sized cube extending from dragon. DC 15 DEX or 4d12 damage.</t>
  </si>
  <si>
    <t>Water Spout. Fills a near-sized cube within far. DC 15 STR or creatures inside flung 2d100 feet in a random direction.</t>
  </si>
  <si>
    <t>Dragon, Swamp</t>
  </si>
  <si>
    <t>This black, wingless beast slithers through dank swamps.</t>
  </si>
  <si>
    <t>3 rend +8 (2d10) or 1 smog breath</t>
  </si>
  <si>
    <t>double near (burrow, swim)</t>
  </si>
  <si>
    <t>Smog Breath. Fills a near-sized cube extending from dragon. DC 15 CON or 2d10 damage and blinded for 1 round.</t>
  </si>
  <si>
    <t>Drow</t>
  </si>
  <si>
    <t>A graceful, shadowy elf that pounces like a spider.</t>
  </si>
  <si>
    <t>1 poison dart (near) +3 (1d4 + poison) or 1 longsword +1 (1d8)</t>
  </si>
  <si>
    <t>Poison. DC 15 CON or sleep.</t>
  </si>
  <si>
    <t>Drow, Drider</t>
  </si>
  <si>
    <t>A monstrosity with the body of a giant spider and torso of a drow.</t>
  </si>
  <si>
    <t>3 longsword +3 (1d8) or 2 longbow (far) +3 (1d8 + poison)</t>
  </si>
  <si>
    <t>Poison. DC 15 CON or paralyzed 1d4 rounds.</t>
  </si>
  <si>
    <t>Drow, Priestess</t>
  </si>
  <si>
    <t>A statuesque female drow with a crown of metal spider webs and an imperious gaze.</t>
  </si>
  <si>
    <t>3 snake whip (near) +4 (1d8 + poison) or 1 spell +4</t>
  </si>
  <si>
    <t xml:space="preserve">Snuff (WIS Spell). DC 12. Extinguish all light sources (even
magical) within near. </t>
  </si>
  <si>
    <t xml:space="preserve">Summon Spiders (WIS Spell).
DC 14. Summon 2d4 loyal giant
spiders that appear within near.
They stay for 5 rounds. </t>
  </si>
  <si>
    <t>Web (WIS Spell). DC 13. A nearsized cube of webs within far immobilizes all inside it for 5 rounds. DC 15 STR on turn to break free.</t>
  </si>
  <si>
    <t>Druid</t>
  </si>
  <si>
    <t>A wizard of the wilds holding a knotted staff and wearing a mossy cloak of deep viridian.</t>
  </si>
  <si>
    <t>1 staff +0 (1d4) or 2 spell +5</t>
  </si>
  <si>
    <t>Barkskin (INT Spell). Self. DC 13. AC becomes 15 for 5 rounds.</t>
  </si>
  <si>
    <t>Conjure Flames (INT Spell). DC 12. One target in far takes 2d6 damage.</t>
  </si>
  <si>
    <t>Imbue (INT Spell). Self. DC 13. Staff becomes a +3 magic weapon for 10 rounds.</t>
  </si>
  <si>
    <t>Summon Bear (INT Spell). DC 14. Summon a loyal brown bear that appears within near. It stays for 5 rounds.</t>
  </si>
  <si>
    <t>Thunderclap (INT Spell). DC 13. Fills a near-sized cube extending from druid. Creatures within are thrown 2d20 feet in a random direction.</t>
  </si>
  <si>
    <t>Dryad</t>
  </si>
  <si>
    <t>A coy, emerald-skinned fey covered in leaves. It bonds with and protects a tree.</t>
  </si>
  <si>
    <t>1 staff -1 (1d4) or 1 charm</t>
  </si>
  <si>
    <t>Charm. Near, one creature, DC 14 CHA or friendship for 1d8 days.</t>
  </si>
  <si>
    <t>Meld. Step inside bonded tree.</t>
  </si>
  <si>
    <t>Duergar</t>
  </si>
  <si>
    <t>Gray-skinned, greedy dwarves with bald pates and white beards. They dwell in somber castles deep within the earth filled with stolen treasures and enslaved prisoners.</t>
  </si>
  <si>
    <t>15 (chainmail + shield)</t>
  </si>
  <si>
    <t>1 war pick +2 (1d6)</t>
  </si>
  <si>
    <t>Enlarge. 1/day, +1d6 damage on melee attacks and ADV on STR checks for 3 rounds.</t>
  </si>
  <si>
    <t>Invisibility. 1/day, turn invisible for 3 rounds. Ends if duergar attacks.</t>
  </si>
  <si>
    <t>Dung Beetle, Giant</t>
  </si>
  <si>
    <t>A trundling, barrel-sized beetle with a T-shaped horn.</t>
  </si>
  <si>
    <t>1 horn +1 (1d4 + knock)</t>
  </si>
  <si>
    <t>Knock. DC 9 STR or pushed a close distance and fall down.</t>
  </si>
  <si>
    <t>Efreeti</t>
  </si>
  <si>
    <t>Blood-red, towering humanoids formed of lava and ash. Short, black horns and snarling grins.</t>
  </si>
  <si>
    <t>3 scimitar +8 (2d10) or 2 fire bolt +5 (2d6)</t>
  </si>
  <si>
    <t>Impervious. Only damaged by magical sources. Fire immune.</t>
  </si>
  <si>
    <t>Wall of Flame. 1/day, 20' high curtain of fire, double near length. Touching it deals 4d8 damage. Lasts 2d4 rounds.</t>
  </si>
  <si>
    <t>Wish. Cast wish once a week for a mortal, no spellcasting check.</t>
  </si>
  <si>
    <t>Elemental, Air</t>
  </si>
  <si>
    <t>A howling tornado of wind.</t>
  </si>
  <si>
    <t>*</t>
  </si>
  <si>
    <t>3 slam +7 (*d6) or 1 whirlwind</t>
  </si>
  <si>
    <t>Whirlwind. All within close DC 15 DEX or flung 2d20 feet in random direction.</t>
  </si>
  <si>
    <t>Elemental, Earth</t>
  </si>
  <si>
    <t>A thundering pillar of earth.</t>
  </si>
  <si>
    <t>3 slam +7 (*d8) or 1 avalanche</t>
  </si>
  <si>
    <t>Avalanche. All within close DC 15 STR or entombed for 1d4 rounds under mounds of earth.</t>
  </si>
  <si>
    <t>Elemental, Fire</t>
  </si>
  <si>
    <t>A roaring column of flames.</t>
  </si>
  <si>
    <t>3 slam +6 (*d10) or 1 inferno</t>
  </si>
  <si>
    <t>Inferno. All within near DC 15 DEX or 3d8 damage.</t>
  </si>
  <si>
    <t>Elemental, Water</t>
  </si>
  <si>
    <t>A crashing vortex of water.</t>
  </si>
  <si>
    <t>3 slam +6 (*d6) or 1 whirlpool</t>
  </si>
  <si>
    <t>Whirlpool. All within close DC 15 STR or immobilized inside water elemental (treat as underwater). DC 15 STR to escape on turn.</t>
  </si>
  <si>
    <t>Elephant</t>
  </si>
  <si>
    <t>Mighty mammals with tough hide, flappy ears, and a trunk.</t>
  </si>
  <si>
    <t>2 tusks +6 (1d8)</t>
  </si>
  <si>
    <t>Charge. Move up to double near in straight line and make 1 tusks attack. If hit, x3 damage.</t>
  </si>
  <si>
    <t>Elf</t>
  </si>
  <si>
    <t>Ethereal, ageless fey-people infused with ancient magic.</t>
  </si>
  <si>
    <t>1 longbow (far) +3 (1d8) or 1 longsword +1 (1d8)</t>
  </si>
  <si>
    <t>Feyblood. ADV on DEX checks while in the natural wilds.</t>
  </si>
  <si>
    <t>Ettercap</t>
  </si>
  <si>
    <t>Bipedal, eight-eyed spiderfolk with spindly legs and purple fur.</t>
  </si>
  <si>
    <t>2 bite +2 (1d6) or 1 poison web (near) +2</t>
  </si>
  <si>
    <t>Poison Web. One target stuck in place and 1d4 damage/round. DC 12 DEX to escape on turn.</t>
  </si>
  <si>
    <t>Fairy</t>
  </si>
  <si>
    <t>Miniature fey folk with fluttering moth or butterfly wings.</t>
  </si>
  <si>
    <t>1 needle +3 (1 + poison)</t>
  </si>
  <si>
    <t>Poison. DC 12 CON or fall into deep sleep for 1d4 hours.</t>
  </si>
  <si>
    <t>Frog, Giant</t>
  </si>
  <si>
    <t>Human-sized frogs with warty skin and long, sticky tongues.</t>
  </si>
  <si>
    <t>1 tongue and 1 bite +2 (1d6)</t>
  </si>
  <si>
    <t>Tongue. 1 creature in near DC 12 DEX or pulled to close range.</t>
  </si>
  <si>
    <t>Gargoyle</t>
  </si>
  <si>
    <t>Leering, winged fiends that look like stone statues. They can hold perfectly still for long stretches of time.</t>
  </si>
  <si>
    <t>2 claw +3 (1d6)</t>
  </si>
  <si>
    <t>Gelatinous Cube</t>
  </si>
  <si>
    <t>A translucent cube of slime that silently mows through tunnels.</t>
  </si>
  <si>
    <t>1 touch +4 (1d8 + toxin + engulf)</t>
  </si>
  <si>
    <t>near S +3, D +1</t>
  </si>
  <si>
    <t>Engulf. DC 12 STR or trapped inside cube. Touch attack autohits engulfed targets each round. DC 12 STR on turn to escape. Fail checks if paralyzed.</t>
  </si>
  <si>
    <t>Rubbery. Half damage from stabbing weapons.</t>
  </si>
  <si>
    <t>Toxin. DC 15 CON or paralyzed 1d4 rounds.</t>
  </si>
  <si>
    <t>Ghast</t>
  </si>
  <si>
    <t>Greater ghouls who retain the intelligence they had in life.</t>
  </si>
  <si>
    <t>2 claw +4 (1d8 + paralyze)</t>
  </si>
  <si>
    <t>Undead. Immune to morale checks.</t>
  </si>
  <si>
    <t>Carrion Stench. Living creatures DC 12 CON the first time within near or DISADV on attacks and spellcasting for 5 rounds.</t>
  </si>
  <si>
    <t>Paralyze. DC 12 CON or paralyzed 1d4 rounds.</t>
  </si>
  <si>
    <t>Ghost</t>
  </si>
  <si>
    <t>A wavering spirit with a face contorted in rage or sadness.</t>
  </si>
  <si>
    <t>2 death touch +5 (1d8 + life drain) or 1 possess</t>
  </si>
  <si>
    <t>Greater Undead. Immune to morale checks. Only damaged by silver or magical sources.</t>
  </si>
  <si>
    <t>Life Drain. 1d4 CON damage. Death if reduced to 0 CON.</t>
  </si>
  <si>
    <t>Possess. One target, close range. Contested Charisma check. If ghost wins, it inhabits the target's body and controls its actions for 2d4 rounds.</t>
  </si>
  <si>
    <t>Ghoul</t>
  </si>
  <si>
    <t>Gray-skinned, slavering undead with whipping tongues and flat, reptilian faces.</t>
  </si>
  <si>
    <t>1 claw +2 (1d6 + paralyze)</t>
  </si>
  <si>
    <t>Giant, Cloud</t>
  </si>
  <si>
    <t>Pale, angular giants with blue-gray hair, light eyes, and silk robes. They do not allow outsiders into their enclaves.</t>
  </si>
  <si>
    <t>3 morningstar +9 (2d10)</t>
  </si>
  <si>
    <t>Alert. ADV on checks to detect sneaking or hiding creatures.</t>
  </si>
  <si>
    <t>Giant, Fire</t>
  </si>
  <si>
    <t>Bulky, muscled giants with coppery skin and red hair. Heavily armored in iron plate mail studded with bronze rivets.</t>
  </si>
  <si>
    <t>3 greatsword +9 (2d12)</t>
  </si>
  <si>
    <t>Giant, Frost</t>
  </si>
  <si>
    <t>Blue-skinned warriors with broad shoulders and braided hair. They sound war horns during their frequent raids.</t>
  </si>
  <si>
    <t>3 greataxe +8 (2d10)</t>
  </si>
  <si>
    <t>Giant, Goat</t>
  </si>
  <si>
    <t>Highland-dwelling, barbaric giants with goatlike legs, horns, and horizontal pupils.</t>
  </si>
  <si>
    <t>2 greatclub +7 (2d8)</t>
  </si>
  <si>
    <t>double near (climb)</t>
  </si>
  <si>
    <t>Giant, Hill</t>
  </si>
  <si>
    <t>Fleshy hulks with leathery skin and broad, sloping foreheads. Cruel, boorish, and dim-witted.</t>
  </si>
  <si>
    <t>2 greatclub +6 (2d8) or 1 boulder (far) +6 (2d10)</t>
  </si>
  <si>
    <t>Giant, Stone</t>
  </si>
  <si>
    <t>Lean, sinewy giants with stony skin and deep-set eyes. They are quiet and poised, often sitting motionless.</t>
  </si>
  <si>
    <t>Stone Hide. Half damage from stabbing and cutting weapons.</t>
  </si>
  <si>
    <t>Giant, Storm</t>
  </si>
  <si>
    <t>Regal titans with sea-green skin, flowing white hair, and thundering voices. They breathe water as easily as air.</t>
  </si>
  <si>
    <t>3 greatsword +10 (2d12) or 1 lightning bolt</t>
  </si>
  <si>
    <t>Lightning Bolt. 3/day, 5' wide line extending far from giant. All creatures in line DC 15 DEX or 5d10 damage. DISADV on check if in water.</t>
  </si>
  <si>
    <t>Gibbering Mouther</t>
  </si>
  <si>
    <t>Crawling masses of slime with dozens of screeching, lipless mouths and wet eyeballs.</t>
  </si>
  <si>
    <t>2 bite +3 (1d8 + latch)</t>
  </si>
  <si>
    <t>near (climb, swim)</t>
  </si>
  <si>
    <t>Gibbering. Creatures within near DC 12 WIS on turn or take a random action (d8): 1-3. do nothing, 4-5. move in random direction, 6-7. attack nearest creature, 8. flee.</t>
  </si>
  <si>
    <t>Latch. Attach to bitten target; bites auto-hit next round. DC 12 STR on turn to tear off.</t>
  </si>
  <si>
    <t>Gladiator</t>
  </si>
  <si>
    <t>Veteran warriors seasoned in arena fights to the death.</t>
  </si>
  <si>
    <t>16 (chainmail + shield)</t>
  </si>
  <si>
    <t>2 longsword +3 (1d8) or 1 spear (close/near) +3 (1d6)</t>
  </si>
  <si>
    <t>Gnoll</t>
  </si>
  <si>
    <t>Barbaric, opportunistic hyenafolk who range in large packs.</t>
  </si>
  <si>
    <t>1 spear (close/near) +1 (1d6) or 1 longbow (far) +1 (1d8)</t>
  </si>
  <si>
    <t>Gnome, Deep</t>
  </si>
  <si>
    <t>Gray-skinned, white-haired fey the size of halflings. They hunt for gems and rare cave flora.</t>
  </si>
  <si>
    <t>14 (leather + shield)</t>
  </si>
  <si>
    <t>1 pick +3 (1d6) or 1 dart (near) +2 (1d4)</t>
  </si>
  <si>
    <t>Stone Meld. 2/day, underground only. Turn invisible for 3 rounds.</t>
  </si>
  <si>
    <t>Goblin</t>
  </si>
  <si>
    <t>A short, hairless humanoid with green skin and pointy ears.</t>
  </si>
  <si>
    <t>1 club +0 (1d4) or 1 shortbow (far) +1 (1d4)</t>
  </si>
  <si>
    <t>Keen Senses: Can't be surprised.</t>
  </si>
  <si>
    <t>Goblin, Boss</t>
  </si>
  <si>
    <t>A scarred goblin with knotted muscles and a crown of iron.</t>
  </si>
  <si>
    <t>1 spear (close/near) +3 (1d6)</t>
  </si>
  <si>
    <t>Goblin, Shaman</t>
  </si>
  <si>
    <t>A swaying, chanting goblin wearing necklaces of teeth and a</t>
  </si>
  <si>
    <t>1 staff +0 (1d4) or 1 spell +3</t>
  </si>
  <si>
    <t>Bug Brain (WIS Spell). DC 13. Near range, one target. Target's INT drops to 1 for 1d4 rounds.</t>
  </si>
  <si>
    <t>Skitter (WIS Spell). DC 12. Self. Climb like a spider for 5 rounds.</t>
  </si>
  <si>
    <t>Stink Bomb (WIS Spell). DC 12. One target within far range takes 2d4 damage and must make a DC 12 CON save or have DISADV on their next check/attack.</t>
  </si>
  <si>
    <t>Golem, Clay</t>
  </si>
  <si>
    <t>A towering, faceless humanoid shaped from glistening clay</t>
  </si>
  <si>
    <t>3 slam +6 (1d8)</t>
  </si>
  <si>
    <t>Golem. Immune to damage from fire, cold, electricity, or non-magical sources. Healed by acid.</t>
  </si>
  <si>
    <t>Curse. Slam damage can only be healed by level 5+ priest.</t>
  </si>
  <si>
    <t>Golem, Flesh</t>
  </si>
  <si>
    <t>A ghastly monstrosity made of sewn-together corpses.</t>
  </si>
  <si>
    <t>Golem. Immune to damage from fire, cold, or non-magical sources. Healed by electricity.</t>
  </si>
  <si>
    <t>Berserk. When at or below 20 HP, +1 slam attack and slams deal double damage.</t>
  </si>
  <si>
    <t>Golem, Iron</t>
  </si>
  <si>
    <t>A bulky iron suit that squeals and sparks with each step</t>
  </si>
  <si>
    <t>3 slam +8 (2d8)</t>
  </si>
  <si>
    <t>Golem. Immune to damage from cold or non-magical sources. Healed by fire.</t>
  </si>
  <si>
    <t>Poison Breath. All within near, DC 15 CON or 8d6 damage.</t>
  </si>
  <si>
    <t>Golem, Stone</t>
  </si>
  <si>
    <t>A wide-limbed, lumbering statue that shakes the ground.</t>
  </si>
  <si>
    <t>3 slam +6 (1d10)</t>
  </si>
  <si>
    <t>Golem. Immune to damage from fire, cold, electricity, or non-magical sources.</t>
  </si>
  <si>
    <t>Slow. Far range, one target. DC 15 CON or speed halved 1d4 rds.</t>
  </si>
  <si>
    <t>Gorgon</t>
  </si>
  <si>
    <t>A snorting bull made entirely of iron plating. A cloud of green fog billows from its nostrils.</t>
  </si>
  <si>
    <t>2 gore +6 (2d8) or 1 charge or 1 petrify fog</t>
  </si>
  <si>
    <t>Charge. Move up to double near in straight line and make 1 gore attack. If hit, x3 damage.</t>
  </si>
  <si>
    <t>Petrifying Breath. Fills a near-sized cube extending from gorgon. DC 15 CON or petrified (gorgons immune).</t>
  </si>
  <si>
    <t>Gorilla</t>
  </si>
  <si>
    <t>Mighty, jungle-dwelling apes.</t>
  </si>
  <si>
    <t>2 rend +5 (2d6)</t>
  </si>
  <si>
    <t>Gray Ooze</t>
  </si>
  <si>
    <t>Slick puddles the color of stone.</t>
  </si>
  <si>
    <t>1 tentacle +2 (1d6)</t>
  </si>
  <si>
    <t>Impervious. Immune to damage from acid, cold, or fire.</t>
  </si>
  <si>
    <t>Corrosive. Nonmagical metal that touches the ooze dissolves on a d6 roll of 1-3.</t>
  </si>
  <si>
    <t>Grick</t>
  </si>
  <si>
    <t>A huge worm with four suckered tentacles and a snapping beak.</t>
  </si>
  <si>
    <t>1 beak +3 (1d8) and 1 tentacle +3 (1d6 + grab)</t>
  </si>
  <si>
    <t>Camouflage. Hard to see in cave terrain or rocks.</t>
  </si>
  <si>
    <t>Grab. Target is immobilized. DC 15 Strength check on turn to break free.</t>
  </si>
  <si>
    <t>Griffon</t>
  </si>
  <si>
    <t>Winged hunters with the head of an eagle and body of a lion. Their favored food is horses.</t>
  </si>
  <si>
    <t>2 rend +4 (1d10)</t>
  </si>
  <si>
    <t>Grimlow</t>
  </si>
  <si>
    <t>A tall, oval-shaped mammal. A giant, half-moon maw hides on its belly beneath its gray fur.</t>
  </si>
  <si>
    <t>1 grab and 3 bite +6 (2d8)</t>
  </si>
  <si>
    <t>Grab. One target in near DC 15 STR or wrapped in grimlow's tongue and pulled into its mouth. Bite attacks automatically hit the target. Can only grab 1 target at a time. DC 15 STR on turn to break free.</t>
  </si>
  <si>
    <t>Guard</t>
  </si>
  <si>
    <t>A sentry equipped with sturdy weapons and armor.</t>
  </si>
  <si>
    <t>1 spear +1 (1d6)</t>
  </si>
  <si>
    <t>Hag, Night</t>
  </si>
  <si>
    <t>A purple-skinned, stooped woman with stringy, white hair and a mouth full of iron teeth.</t>
  </si>
  <si>
    <t>2 bite +6 (1d10) and 1 blind</t>
  </si>
  <si>
    <t>Blind. One target within near DC 15 CHA or blinded for 1d4 days.</t>
  </si>
  <si>
    <t>Shapechange. Instantly change to look like any other humanoid.</t>
  </si>
  <si>
    <t>Hag, Sea</t>
  </si>
  <si>
    <t>A green, sunken-faced woman. Seaweed hair and oozing flesh.</t>
  </si>
  <si>
    <t>Terrify. A creature who first sees her true form DC 15 CHA or DISADV on attacks 1d4 rounds.</t>
  </si>
  <si>
    <t>Hag, Weald</t>
  </si>
  <si>
    <t>Eyes dark as moonless nights, skin made of rotting wood, hair of tangled roots and vines.</t>
  </si>
  <si>
    <t>2 claw +4 (1d8) or 1 drink pain</t>
  </si>
  <si>
    <t>Drink Pain. Near range. DC 12 CHA to deal 2d4 damage to a creature; regain that many HP.</t>
  </si>
  <si>
    <t>Harpy</t>
  </si>
  <si>
    <t>Horrific, winged women with vulture-like lower bodies. They keen a hypnotic song.</t>
  </si>
  <si>
    <t>2 claw +3 (1d6) or 1 song</t>
  </si>
  <si>
    <t>Song. Enemies who can hear within double near DC 12 CHA or dazed and drawn to harpy for 1d4 rounds. Immune for 1 day if passed check.</t>
  </si>
  <si>
    <t>Hell Hound</t>
  </si>
  <si>
    <t>Black wolfhounds with red eyes and jaws dripping with flames.</t>
  </si>
  <si>
    <t>2 bite +4 (1d8) or 1 fire breath</t>
  </si>
  <si>
    <t xml:space="preserve">Impervious. Fire immune. </t>
  </si>
  <si>
    <t>Fire Breath. Fills a near-sized cube extending from hell hound. DC 15 DEX or 3d8 damage. Cannot use again for 1d4 rounds.</t>
  </si>
  <si>
    <t>Hippogriff</t>
  </si>
  <si>
    <t>Fierce, winged creatures with the lower body of a horse and upper body of a giant eagle.</t>
  </si>
  <si>
    <t>2 rend +3 (1d8)</t>
  </si>
  <si>
    <t>Hippopotamus</t>
  </si>
  <si>
    <t>Ornery river-beasts as large as cows with round, purple bodies and bulbous snouts.</t>
  </si>
  <si>
    <t>2 bite +4 (1d10)</t>
  </si>
  <si>
    <t>Stumpy. ADV on STR checks to grab or drag other creatures.</t>
  </si>
  <si>
    <t>Hobgoblin</t>
  </si>
  <si>
    <t>A sturdy, tall goblin with russet skin. Militant and strategic.</t>
  </si>
  <si>
    <t>1 longsword +3 (1d8) or 1 longbow (far) +0 (1d8)</t>
  </si>
  <si>
    <t>Phalanx. +1 to attacks and AC when in close range of an allied hobgoblin.</t>
  </si>
  <si>
    <t>Horse</t>
  </si>
  <si>
    <t>Powerful, swift herd animals that roam open plains.</t>
  </si>
  <si>
    <t>1 hooves +3 (1d6)</t>
  </si>
  <si>
    <t>Hydra</t>
  </si>
  <si>
    <t>A towering, amphibious reptile with a bouquet of snake heads writhing on long necks.</t>
  </si>
  <si>
    <t>1 bite (near) +6 (1d8)</t>
  </si>
  <si>
    <t>Heads. Choose how many heads the hydra has. Each is LV 2, AC 15, and can make 1 bite attack. A killed head sprouts into two new heads at the start of the hydra's turn unless cauterized beforehand. Treat the hydra's LV as all the heads combined.</t>
  </si>
  <si>
    <t>Invisible Stalker</t>
  </si>
  <si>
    <t>Intelligent creatures made of flowing air. Often bound to the bidding of evil sorcerers.</t>
  </si>
  <si>
    <t>3 pummel +4 (1d6)</t>
  </si>
  <si>
    <t>Bound. A secret, mundane contingency (such as the touch of a feather) ends the invisible stalker's magical servitude.</t>
  </si>
  <si>
    <t>Invisible. Naturally invisible.</t>
  </si>
  <si>
    <t>Tracking. Can always sense the direction of its chosen quarry.</t>
  </si>
  <si>
    <t>Jellyfish</t>
  </si>
  <si>
    <t>Hand-sized, purple sea jellies with stinging tentacles.</t>
  </si>
  <si>
    <t>1 sting +1 (1 + toxin)</t>
  </si>
  <si>
    <t>close (swim)</t>
  </si>
  <si>
    <t>Toxin. DC 9 CON or paralyzed 1d4 rounds.</t>
  </si>
  <si>
    <t>Knight</t>
  </si>
  <si>
    <t>A warrior in shining plate mail and the surcoat of a knightly order.</t>
  </si>
  <si>
    <t>2 bastard sword +3 (1d8)</t>
  </si>
  <si>
    <t>Oath. 3/day, ADV on a roll made in service of knight's order.</t>
  </si>
  <si>
    <t>Kobold</t>
  </si>
  <si>
    <t>Puny, scaled coyote-lizards that dwell underground.</t>
  </si>
  <si>
    <t>1 spear (close/near) +0 (1d6)</t>
  </si>
  <si>
    <t>Dodge. 1/day, an attack that would hit misses instead.</t>
  </si>
  <si>
    <t>Kobold, Sorcerer</t>
  </si>
  <si>
    <t>A scaly dog-lizard painted with colorful stripes and rattling a hefty leg bone strung with beads and feathers.</t>
  </si>
  <si>
    <t>1 club +1 (1d4) or 1 spell +2</t>
  </si>
  <si>
    <t>Scorpion Sting (CHA Spell). DC 11. Near range, one target. 1d6 damage and target has DISADV on next attack roll or check.</t>
  </si>
  <si>
    <t>Spider Swarm (CHA Spell). DC 12. A spider swarm appears within near. Stays 1d4 rounds. Follows sorcerer's commands.</t>
  </si>
  <si>
    <t>Kraken</t>
  </si>
  <si>
    <t>Primordial, tentacled leviathans the size of war galleons. They live in the lightless depths of the deep ocean.</t>
  </si>
  <si>
    <t>4 tentacle (near) +9 (2d12) or 1 storm or 1d4 lightning bolt</t>
  </si>
  <si>
    <t>Impervious. Electricity immune.</t>
  </si>
  <si>
    <t>Crush. Tentacle attacks deal double damage against objects.</t>
  </si>
  <si>
    <t>Lighting Bolt. Straight line (5' wide) extending far from kraken. DC 15 DEX or 6d6 damage.</t>
  </si>
  <si>
    <t>Storm. Seas become violently turbulent in 1 mile radius around kraken. Lasts 2d4 rounds. Seaborne vessels have a 1:6 chance of capsizing each round.</t>
  </si>
  <si>
    <t>Leech, Giant</t>
  </si>
  <si>
    <t>A glossy black, blood-drinking slug as large as a cat.</t>
  </si>
  <si>
    <t>1 bite +1 (1d4 + attach)</t>
  </si>
  <si>
    <t>Attach. Attach to target; bite auto-hits next round. DC 12 STR on turn to tear off.</t>
  </si>
  <si>
    <t>Leprechaun</t>
  </si>
  <si>
    <t>Impish fey who favor green garb and love fooling "tall folk" with promises of gold.</t>
  </si>
  <si>
    <t>1 spell +4</t>
  </si>
  <si>
    <t>Alert. Cannot be surprised.</t>
  </si>
  <si>
    <t>Slippery. Hostile spells targeting the leprechaun are DC 15 to cast.</t>
  </si>
  <si>
    <t>Fool's Gold (CHA Spell). DC 12. Close. One small object or small group of similar objects. Turn objects into silver or gold pieces. Lasts 1 day.</t>
  </si>
  <si>
    <t>Illusion (CHA Spell). DC 11. Create a convincing visual and/or auditory illusion within near. Lasts until dismissed.</t>
  </si>
  <si>
    <t>Invisibility (CHA Spell). DC 12. Self. Become invisible for 2d4 rounds.</t>
  </si>
  <si>
    <t>Lich</t>
  </si>
  <si>
    <t>A wizard who has completed a necromantic ritual to become a mighty, undead sorcerer. Its withered body is draped in moldering, silk robes, and red marshlights burn in its eyes.</t>
  </si>
  <si>
    <t>2 touch +6 (2d8 + paralysis) and 2 spell +7</t>
  </si>
  <si>
    <t>Supreme Undead. Immune to morale checks. Only damaged by magical sources.</t>
  </si>
  <si>
    <t>Phylactery. Can't be killed while spirit vessel (an object) is intact.</t>
  </si>
  <si>
    <t>Paralysis. DC 15 CON or paralyzed 1d4 rounds.</t>
  </si>
  <si>
    <t>Flight (INT Spell). Self. DC 13. Fly double near for 5 rounds</t>
  </si>
  <si>
    <t>Null (INT Spell). Self. DC 14. Hostile spells targeting lich are DC 18 to cast. Lasts 1d4 rounds.</t>
  </si>
  <si>
    <t xml:space="preserve">Shadow Leap (INT Spell). Self. DC 14. Teleport up to 100 miles. </t>
  </si>
  <si>
    <t xml:space="preserve">Sigil of Doom (INT Spell). DC 15. One target of LV 9 or less within near DC 15 CON or go to 0 HP. </t>
  </si>
  <si>
    <t>Wither (INT Spell). DC 14. 4d8 damage to enemies within a near-sized cube centered on lich.</t>
  </si>
  <si>
    <t>Lion</t>
  </si>
  <si>
    <t>Tawny great cats that hunt open planes. Males have manes.</t>
  </si>
  <si>
    <t>2 rend +4 (1d8)</t>
  </si>
  <si>
    <t>Lizardfolk</t>
  </si>
  <si>
    <t>Crocodilian humanoids with scaly faces, claws, and tails. They dwell in swamps and rivers.</t>
  </si>
  <si>
    <t>1 spear (close/near) +2 (1d6)</t>
  </si>
  <si>
    <t>Mage</t>
  </si>
  <si>
    <t>Trained wizards who are often members of a sorcerous order.</t>
  </si>
  <si>
    <t>1 spell +5</t>
  </si>
  <si>
    <t>Arcane Armor (INT Spell). Self. DC 12. AC 16 for 2d4 rounds.</t>
  </si>
  <si>
    <t>Blast (INT Spell). DC 12. Far, one target. 2d6 damage.</t>
  </si>
  <si>
    <t>Cancel (INT Spell). DC 13. End one spell affecting a target within near.</t>
  </si>
  <si>
    <t>Levitate (INT Spell). DC 12. Close. Focus. Hover near for duration, vertical movement only.</t>
  </si>
  <si>
    <t>Snare (INT Spell). DC 13. Focus. One humanoid target within near paralyzed for duration.</t>
  </si>
  <si>
    <t>Mammoth</t>
  </si>
  <si>
    <t>Massive, shaggy elephants with tusks that reach the ground.</t>
  </si>
  <si>
    <t>2 tusks +7 (1d12)</t>
  </si>
  <si>
    <t>Manta Ray, Giant</t>
  </si>
  <si>
    <t>Swooping manta rays as large</t>
  </si>
  <si>
    <t>2 sting +5</t>
  </si>
  <si>
    <t>Poison. DC 15 CON or drop to 0 hit points in 1d4 rounds.</t>
  </si>
  <si>
    <t>Manticore</t>
  </si>
  <si>
    <t>Human-faced lions with bat</t>
  </si>
  <si>
    <t>2 rend +6 (2d6) or 2 tail spike (far) +4 (1d8)</t>
  </si>
  <si>
    <t>Spikes. Manticores have 4d6 tail spikes. They regrow each day.</t>
  </si>
  <si>
    <t>Mastiff</t>
  </si>
  <si>
    <t>Muscled guard dogs with fierce</t>
  </si>
  <si>
    <t>1 bite +1 (1d6)</t>
  </si>
  <si>
    <t>Medusa</t>
  </si>
  <si>
    <t>Immortal women with coiling</t>
  </si>
  <si>
    <t>1 snake bite +6 (1d6 + poison)</t>
  </si>
  <si>
    <t>Godborn. Hostile spells targeting the medusa are DC 15 to cast.</t>
  </si>
  <si>
    <t>Petrify. Any creature (including medusa) who looks directly at medusa, DC 15 CON or petrified.</t>
  </si>
  <si>
    <t>Poison. DC 15 CON or go to 0 HP.</t>
  </si>
  <si>
    <t>Merfolk</t>
  </si>
  <si>
    <t>Ocean dwellers with human</t>
  </si>
  <si>
    <t>near(swim)</t>
  </si>
  <si>
    <t>Mimic</t>
  </si>
  <si>
    <t>Beasts that look like objects.</t>
  </si>
  <si>
    <t>2 bite +5 (1d8 + stick)</t>
  </si>
  <si>
    <t>Stick. DC 15 STR or adhere to target; auto-hit with bite. DC 15 STR on turn to remove.</t>
  </si>
  <si>
    <t>Minotaur</t>
  </si>
  <si>
    <t>Ferocious bull-men with hooves and curved horns. They live in mazelike tunnels.</t>
  </si>
  <si>
    <t>2 greataxe +6 (1d10) and 1 horns +6 (1d12)</t>
  </si>
  <si>
    <t>Charge: In place of attacks, move up to double near in a straight line and make 1 horn attack. If hit, x2 damage.</t>
  </si>
  <si>
    <t>Moose</t>
  </si>
  <si>
    <t>A towering, brown-haired grazer with weighty, flat antlers.</t>
  </si>
  <si>
    <t>2 antler +3 (1d6)</t>
  </si>
  <si>
    <t>Mordanticus The Flayed</t>
  </si>
  <si>
    <t>A skinless mummy-lich wearing a crown set with nine bright gems. Once the head of the ancient, wizardly order of Gehemna, Mordanticus now lives in secret within the sanctum of Gehemna's reigning archmage. He has served as an advisor and historian for centuries, but an enduring enchantment prevents him from speaking of two topics: his origins, and The Ten-Eyed Oracle.</t>
  </si>
  <si>
    <t>1 rot touch +8 (1d10 + necrosis) and 3 spell +8</t>
  </si>
  <si>
    <t>Legendary Undead. Immune to morale checks. Only damaged by magical sources. Hostile spells targeting Mordanticus are DC 18 to cast.</t>
  </si>
  <si>
    <t>Crown of Gehemna. 3/day, cause a spell being cast within far to fail.</t>
  </si>
  <si>
    <t>Necrosis. DC 15 CON or go to 0 HP. Healing spells are DC 15 to cast on target while affected by necrosis.</t>
  </si>
  <si>
    <t>Phylactery. Cannot be killed while spirit vessel (a diamond) is intact.</t>
  </si>
  <si>
    <t>Absorb (INT Spell). DC 13. Near, one target. Target loses the ability to cast one random spell until completing a rest, and Mordanticus regains a lost spell of the same tier or less.</t>
  </si>
  <si>
    <t>Banish (INT Spell). DC 14. All extradimensional creatures within near DC 15 CHA or sent back to their home planes.</t>
  </si>
  <si>
    <t>Bind (INT Spell). DC 12. One humanoid in far paralyzed 1d4 rounds.</t>
  </si>
  <si>
    <t>Blast (INT Spell). DC 14. One creature in near takes 5d8 damage</t>
  </si>
  <si>
    <t>Phase (INT Spell). DC 13. Self. Teleport up to one mile.</t>
  </si>
  <si>
    <t>True Name (INT Spell). DC 15. Near. Learn the True Name of target.</t>
  </si>
  <si>
    <t>Mummy</t>
  </si>
  <si>
    <t>A desiccated, linen-wrapped zombie.</t>
  </si>
  <si>
    <t>3 rot touch +8</t>
  </si>
  <si>
    <t>Dessicated. Can be damaged by fire. Takes x2 damage from it.</t>
  </si>
  <si>
    <t>Necrosis. DC 15 CON or drop to 0 HP. Healing spells are DC 15 to cast on target while affected by necrosis.</t>
  </si>
  <si>
    <t>Mushroomfolk</t>
  </si>
  <si>
    <t>Lumbering humanoids with spongy, elongated bodies.</t>
  </si>
  <si>
    <t>2 slam +2 (1d6)</t>
  </si>
  <si>
    <t>Telepathic. Speak mentally with creatures within double near.</t>
  </si>
  <si>
    <t>Naga</t>
  </si>
  <si>
    <t>Magic-wielding cobras towering ten feet high.</t>
  </si>
  <si>
    <t>2 bite +7</t>
  </si>
  <si>
    <t>Agony (CHA Spell). DC 14. One target in near takes 3d8 damage.</t>
  </si>
  <si>
    <t>Hypnotize (CHA Spell). DC 13. Focus. One target in near range who can see naga is helplessly stupefied for duration.</t>
  </si>
  <si>
    <t>Whispers (CHA Spell). DC 12. Hostile spells cast on one target in near are DC 9 for 1d4 rounds.</t>
  </si>
  <si>
    <t>Naga, Bone</t>
  </si>
  <si>
    <t>Mindless, skeletal husks of nagas reanimated by sorcery.</t>
  </si>
  <si>
    <t>2 bite +5</t>
  </si>
  <si>
    <t>near (burrow, climb)</t>
  </si>
  <si>
    <t>Nightmare</t>
  </si>
  <si>
    <t>Black warhorses with flaming manes, hooves, and eyes.</t>
  </si>
  <si>
    <t>2 hooves +5</t>
  </si>
  <si>
    <t>Impervious. Nightmare and its rider immune to fire.</t>
  </si>
  <si>
    <t>Obe-Ixx Of Azarumme</t>
  </si>
  <si>
    <t>A pale, angular woman in translucent plate mail fashioned from giant scorpion chitin. Obe-Ixx, daughter of Azarumme, rose up from the prehistoric barbarian tribes of Tal-Yool to conquer all in her path. One day, she stood at the steps of an obsidian ziggurat deep within the trackless jungle. Forty nights later, Obe-Ixx emerged as the ur-vampire, bloodlust made flesh. Her dynasty would rise and fall again and again over the coming millennia.</t>
  </si>
  <si>
    <t>4 greatsword (near) +11 (1d12 + 2 + Moonbite properties) and 1 bite + 9 (1d8 + blood drain) and 1 charm</t>
  </si>
  <si>
    <t>near (climb, fly)</t>
  </si>
  <si>
    <t>Immune to morale checks. Only damaged by magical sources. Hostile spells targeting Obe-Ixx are DC 18 to cast.</t>
  </si>
  <si>
    <t>Blood Drain. Obe-Ixx heals 2d8 HP, target loses 1d6 CON. At 0 CON, target dies and rises as a loyal vampire or vampire spawn (Obe-Ixx chooses).</t>
  </si>
  <si>
    <t>Charm. One humanoid target who can see Obe-Ixx within near, DC 15 CHA or under Obe-Ixx's control for 1d4 days.</t>
  </si>
  <si>
    <t>Moonbite Properties. +2 greatsword, thrown weapon, returns after being thrown. Spells to heal damage it inflicts are DC 15 to cast.</t>
  </si>
  <si>
    <t>Shapechange. In place of attacks, turn into a giant bat, dire wolf, or back into regular form.</t>
  </si>
  <si>
    <t>Ur-Vampire. Must sleep in sarcophagus at least once per moon cycle or loses 2d8 HP per day that cannot heal until sleeping in sarcophagus. Takes 3d8 damage each round while in direct sunlight. Cannot be killed unless pierced through heart while at 0 HP with a wooden stake carved from a tree from the Tal-Yool jungle.</t>
  </si>
  <si>
    <t>Ochre Jelly</t>
  </si>
  <si>
    <t>An orange puddle of quivering slime.</t>
  </si>
  <si>
    <t>20</t>
  </si>
  <si>
    <t>2 tentacle +3 (1d6)</t>
  </si>
  <si>
    <t>2</t>
  </si>
  <si>
    <t>Split. If cut or chopped, split into two smaller oozes (divide remaining HP between both). Can split up to four times.</t>
  </si>
  <si>
    <t>Octopus, Giant</t>
  </si>
  <si>
    <t>Octopi as large as sailing skiffs.</t>
  </si>
  <si>
    <t>23</t>
  </si>
  <si>
    <t>2 tentacle (near) +4 (1d8 + grab)</t>
  </si>
  <si>
    <t>-2</t>
  </si>
  <si>
    <t>-3</t>
  </si>
  <si>
    <t>Grab. DC 15 STR or immobilized. Tentacle auto-hits each round. DC 15 STR on turn to break free. Ink. In place of attacks, ink cloud blinds all in near for 1d4 rounds.</t>
  </si>
  <si>
    <t>Ogre</t>
  </si>
  <si>
    <t>A massive, dim-witted brute with tusks and a heavy frame. Often lords over goblins or orcs.</t>
  </si>
  <si>
    <t>30</t>
  </si>
  <si>
    <t>2 greatclub +6 (2d6)</t>
  </si>
  <si>
    <t>4</t>
  </si>
  <si>
    <t>3</t>
  </si>
  <si>
    <t>Oni</t>
  </si>
  <si>
    <t>Cunning and sorcerous ogre-demons with shaggy white hair, blue skin, and yellow eyes.</t>
  </si>
  <si>
    <t>33</t>
  </si>
  <si>
    <t>1 glaive (near) +6 (1d10) or 1 spell +5</t>
  </si>
  <si>
    <t>5</t>
  </si>
  <si>
    <t>1</t>
  </si>
  <si>
    <t>Shapeshift. In place of attacks, turn into any humanoid or back into original form.</t>
  </si>
  <si>
    <t>Fade (CHA Spell). DC 13. Self. Become invisible for 1d4 rounds.</t>
  </si>
  <si>
    <t>Hellfrost (CHA Spell). DC 13. All within near-sized cube extending from oni 3d6 damage.</t>
  </si>
  <si>
    <t>Mist (CHA Spell). DC 13. Self. Turn into mist that can fly double near. Lasts 2d4 rounds.</t>
  </si>
  <si>
    <t>Orc</t>
  </si>
  <si>
    <t>A tusked, tall humanoid with gray skin and pointed ears.</t>
  </si>
  <si>
    <t>1 greataxe +2 (1d8)</t>
  </si>
  <si>
    <t>Orc, Chieftain</t>
  </si>
  <si>
    <t>An imposing orc with scars crisscrossing its body.</t>
  </si>
  <si>
    <t>2 greataxe +4 (1d10)</t>
  </si>
  <si>
    <t>Otyugh</t>
  </si>
  <si>
    <t>Stumpy, three-legged beasts with barbed tentacles and vast</t>
  </si>
  <si>
    <t>2 tentacle +5 (1d8) and 1 bite +5 (1d10 +
disease)</t>
  </si>
  <si>
    <t>Disease. DC 15 CON or infected. DC 15 CON each day or lose 1d6 HP (can't heal). Ends on success.</t>
  </si>
  <si>
    <t>Outsider, Primordial Slime</t>
  </si>
  <si>
    <t>A mass of clear ooze strobing with sick pulses of violet light.</t>
  </si>
  <si>
    <t>2 tentacle +4 (1d10 + dissolve)</t>
  </si>
  <si>
    <t>Impervious. Only harmed by fire.</t>
  </si>
  <si>
    <t>Dissolve. One random piece of non-magical gear is destroyed</t>
  </si>
  <si>
    <t>Outsider, Rime Walker</t>
  </si>
  <si>
    <t>Human-shaped beings formed from black space ice. Their eyes are two flickering, white lights.</t>
  </si>
  <si>
    <t>4 claw +8 (1d12)</t>
  </si>
  <si>
    <t>Impervious. Immune to cold.</t>
  </si>
  <si>
    <t>Ice Aura. Enemies within near of rime walker DC 12 CON or lose action</t>
  </si>
  <si>
    <t>Outsider, Void Spawn</t>
  </si>
  <si>
    <t>Scythe-like limbs jut from a purple bulb as big as an ogre. Its lower half is a nest of tentacles.</t>
  </si>
  <si>
    <t>2 scythe +6 (1d10)</t>
  </si>
  <si>
    <t>Toxin. DC 12 CON or paralyzed for 1d4 rounds</t>
  </si>
  <si>
    <t>Outsider, Void Spider</t>
  </si>
  <si>
    <t>Pale, horse-sized arachnids that become ghostly and intangible.</t>
  </si>
  <si>
    <t>2 bite +4 (1d8 + poison)</t>
  </si>
  <si>
    <t>Phase. Once per round, become corporeal or incorporeal</t>
  </si>
  <si>
    <t>Poison. DC 12 CON or drop to 0 HP in 1d4 rounds</t>
  </si>
  <si>
    <t>Owlbear</t>
  </si>
  <si>
    <t>Cantankerous bears with owl eyes, beaks, and feathers.</t>
  </si>
  <si>
    <t>2 claw +5 (1d10)</t>
  </si>
  <si>
    <t>near (climb) S +4</t>
  </si>
  <si>
    <t>Panther</t>
  </si>
  <si>
    <t>Supple large cats with blue-black fur. Stealthy hunters.</t>
  </si>
  <si>
    <t>2 rend +3 (1d6)</t>
  </si>
  <si>
    <t>near (climb) S +3</t>
  </si>
  <si>
    <t>Peasant</t>
  </si>
  <si>
    <t>A commoner in worn clothes.</t>
  </si>
  <si>
    <t>1 club +0 (1d4)</t>
  </si>
  <si>
    <t>Pegasus</t>
  </si>
  <si>
    <t>Winged horses with noble bearings and pearly white coats.</t>
  </si>
  <si>
    <t>2 hooves +3 (1d6)</t>
  </si>
  <si>
    <t>double near (fly) S +3</t>
  </si>
  <si>
    <t>Phoenix</t>
  </si>
  <si>
    <t>Huge, soaring eagles made of searing flames. Intelligent and imbued with immortal magic.</t>
  </si>
  <si>
    <t>4 rend +8 (2d12)</t>
  </si>
  <si>
    <t>Impervious. Immune to fire. Only damaged by magical sources.</t>
  </si>
  <si>
    <t>Explosion. Upon death, creatures within double near of phoenix DC 18 DEX or 10d6 damage.</t>
  </si>
  <si>
    <t>Heat Aura. Creatures within near of phoenix at start of turn DC 15 CON or 2d6 damage.</t>
  </si>
  <si>
    <t>Rebirth. A red-hot egg remains after death. Phoenix hatches from it in 1d4 days.</t>
  </si>
  <si>
    <t>Piranha, Swarm</t>
  </si>
  <si>
    <t>A school of flat, silvery fish with vicious fangs.</t>
  </si>
  <si>
    <t>2 bite +2 (1d6)</t>
  </si>
  <si>
    <t>Savage. ADV on attacks against creatures below half their HP.</t>
  </si>
  <si>
    <t>Pirate</t>
  </si>
  <si>
    <t>Seafaring scoundrels who live to steal and hoard treasure.</t>
  </si>
  <si>
    <t>1 cutlass +1 (1d6) or 1 dagger (close/near) +1 (1d4)</t>
  </si>
  <si>
    <t>Priest</t>
  </si>
  <si>
    <t>A respected member of a clergy who leads holy rituals and rites.</t>
  </si>
  <si>
    <t>2 mace +3 (1d6) or 1 spell +3</t>
  </si>
  <si>
    <t>Anoint (WIS Spell). DC 12. Close. One weapon or armor becomes a magic +2 version for 10 rounds.</t>
  </si>
  <si>
    <t>Healing Touch (WIS Spell). DC 11. Heal one creature within close for 2d4 HP.</t>
  </si>
  <si>
    <t>Holy Flame (WIS Spell). DC 13. Self. Weapons ignite in magic flames and deal an additional 1d6 damage for 5 rounds.</t>
  </si>
  <si>
    <t>Rebuke (WIS Spell). DC 13. Focus. Chaotic creatures cannot attack priest or come within near range for duration.</t>
  </si>
  <si>
    <t>Purple Worm</t>
  </si>
  <si>
    <t>A massive worm as tall as a castle keep. Has a rotating maw and is covered in purple chitin.</t>
  </si>
  <si>
    <t>2 bite +9 (2d12 + swallow) and 1 sting (1d10 + poison)</t>
  </si>
  <si>
    <t>double near (burrow)</t>
  </si>
  <si>
    <t>Swallow. On a natural attack roll of 18-20, target is swallowed. Total darkness inside and 2d10 damage per round. Worm regurgitates all swallowed if dealt at least 20 damage in one round to the inside of its gullet.</t>
  </si>
  <si>
    <t>Rakshasa</t>
  </si>
  <si>
    <t>Demonic illusionists whose true form is of a humanlike great cat with backwards hands.</t>
  </si>
  <si>
    <t>2 claw +6 (1d8)</t>
  </si>
  <si>
    <t>Impervious. Only damaged by magical sources. Immune to hostile spells of 3rd tier or lower.</t>
  </si>
  <si>
    <t>Mesmerism. Can read the minds of all creatures within near. Can instantly take on the illusory appearance of any humanoid.</t>
  </si>
  <si>
    <t>Weakness. A crossbow bolt under the effects of the holy weapon spell kills the rakshasa.</t>
  </si>
  <si>
    <t>Rat</t>
  </si>
  <si>
    <t>Rangy, plague-carrying rodents that infest underground places.</t>
  </si>
  <si>
    <t>1 bite +0 (1 + disease)</t>
  </si>
  <si>
    <t>Disease. DC 9 CON or 1d4 CON damage (can't heal while ill). Repeat check once per day; ends on success. Die at 0 CON.</t>
  </si>
  <si>
    <t>Rat, Dire</t>
  </si>
  <si>
    <t>Child-sized, savage rats bristling with bony face and spine ridges.</t>
  </si>
  <si>
    <t>1 bite +2 (1d6 + disease)</t>
  </si>
  <si>
    <t>Disease. DC 12 CON or 1d4 CON damage (can't heal while ill). Repeat check once per day; ends on success. Die at 0 CON.</t>
  </si>
  <si>
    <t>Rat, Giant</t>
  </si>
  <si>
    <t>Cunning rats as large as cats. Mangy fur and wormlike tails.</t>
  </si>
  <si>
    <t>1 bite +1 (1d4 + disease)</t>
  </si>
  <si>
    <t>Rat, Swarm</t>
  </si>
  <si>
    <t>A screeching tidal wave of clawing and biting rats.</t>
  </si>
  <si>
    <t>4 bite +0 (1 + disease)</t>
  </si>
  <si>
    <t>Rathgamnon</t>
  </si>
  <si>
    <t>A pearl-white lion with feathered wings that stands twenty feet tall. Rathgamnon is Madeera the Covenant's mightiest servant; his blank eyes see far into the depths of time and space. He spends all eternity watching the whirl of the stars from the highest mountain in the realm of mortals, waiting for the celestial alignments that prophesy epochs of weal and woe, titanic changes to the balance of power in the cosmos, or threats to the laws of reality itself.</t>
  </si>
  <si>
    <t>2 rend (near) +9 (2d10) and 2 spell +8</t>
  </si>
  <si>
    <t>Legendary. Only damaged by magical sources. Hostile spells
targeting Rathgamnon are DC 18 to cast.</t>
  </si>
  <si>
    <t>Roar. In place of attacks, all creatures who can hear within far DC 18 CHA or be rendered blind and speechless for 1d4 days.</t>
  </si>
  <si>
    <t>Abjure (WIS Spell). DC 13. Self. End any hostile magical effects affecting Rathgamnon.</t>
  </si>
  <si>
    <t>Abolish (WIS Spell). DC 13. One target in far takes 5d8 damage.</t>
  </si>
  <si>
    <t>Anchor (WIS Spell). DC 14. One target in far DC 18 STR or bound and anchored by chains of golden runes for 1d4 rounds.</t>
  </si>
  <si>
    <t>Gate (WIS Spell). DC 14. Open a portal at a point within near to another location on any plane. Lasts 1d6 rounds or until dismissed.</t>
  </si>
  <si>
    <t>Portent (WIS Spell). DC 14. Lasts 2d4 rounds. One target in near has advantage or disadvantage on all attack rolls and checks.</t>
  </si>
  <si>
    <t>Time Stop (WIS Spell). DC 15. Self. Time freezes for everyone except Rathgamnon for 1d4 rounds. Everything that occurs during the time freeze happens simultaneously when the spell ends.</t>
  </si>
  <si>
    <t>Reaver</t>
  </si>
  <si>
    <t>A knight in blackened armor riddled with cruel barbs.</t>
  </si>
  <si>
    <t>3 bastard sword +4 (1d8 + 2)</t>
  </si>
  <si>
    <t>Bloodlust. +2 damage with melee weapons (included).</t>
  </si>
  <si>
    <t>Remorhaz</t>
  </si>
  <si>
    <t>Massive, blue centipedes with neck hoods and red-hot spine spikes. Dwell in arctic climates.</t>
  </si>
  <si>
    <t>3 bite +7 (2d6 + swallow)</t>
  </si>
  <si>
    <t>Impervious. Immune to cold and fire.</t>
  </si>
  <si>
    <t>Melt. Non-magical metal objects that touch the remorhaz melt on a d6 roll of 1-3.</t>
  </si>
  <si>
    <t>Swallow. On a natural attack roll of 18-20, target is swallowed. Total darkness inside and 2d10 damage per round. Remorhaz regurgitates all swallowed if dealt at least 20 damage in one round to the inside of its gullet.</t>
  </si>
  <si>
    <t>Rhinoceros</t>
  </si>
  <si>
    <t>Gray-skinned bulls with single nose horns. Dwell in grasslands.</t>
  </si>
  <si>
    <t>2 horn +4 (1d8)</t>
  </si>
  <si>
    <t>Roc</t>
  </si>
  <si>
    <t>Dragon-sized hawks that nest in remote mountains.</t>
  </si>
  <si>
    <t>4 rend +9 (2d10 + grab)</t>
  </si>
  <si>
    <t>Grab. DC 18 STR or target held. DC 18 STR on turn to break free.</t>
  </si>
  <si>
    <t>Roper</t>
  </si>
  <si>
    <t>Ravenous monstrosities that look like cave rocks when their single eye and maw are closed.</t>
  </si>
  <si>
    <t>4 tendril (double near) +4 (1d6 + grab) and 1 bite +4 (2d8)</t>
  </si>
  <si>
    <t>close (climb)</t>
  </si>
  <si>
    <t>Impervious. Can only be damaged by magical sources.</t>
  </si>
  <si>
    <t>Grab. DC 15 STR or target trapped in tendril. Tendril autohits target next round. DC 15 STR on turn to break free.</t>
  </si>
  <si>
    <t>Pull. In place of a tendril attack, pull a grabbed target a near distance.</t>
  </si>
  <si>
    <t>Tendrils. Four total. AC 18 each. 4+ damage to one severs it.</t>
  </si>
  <si>
    <t>Rot Flower</t>
  </si>
  <si>
    <t>Carnivorous flowers as large as a human. They reek of carrion.</t>
  </si>
  <si>
    <t>1 bite +1 (1d4 + toxin)</t>
  </si>
  <si>
    <t>none</t>
  </si>
  <si>
    <t>Toxin. DC 12 CON or unconscious for 1d4 rounds.</t>
  </si>
  <si>
    <t>Rust Monster</t>
  </si>
  <si>
    <t>A mud-brown insect as big as a wolf with two feathery antennae. Consumes metal.</t>
  </si>
  <si>
    <t>Corrosive. Metal that touches the rust monster is destroyed on a d6 roll of 1-3.</t>
  </si>
  <si>
    <t>Sahuagin</t>
  </si>
  <si>
    <t>Humanoids with sea-green skin, webbed limbs, and shark teeth. Vicious hunters.</t>
  </si>
  <si>
    <t>2 trident (near) +1 (1d6)</t>
  </si>
  <si>
    <t>Half-Amphibious. Must be submerged in water every 4 hours or suffocates.</t>
  </si>
  <si>
    <t>Salamander</t>
  </si>
  <si>
    <t>Fire-colored lizardfolk with long tails. Flame-like frills run down their backs.</t>
  </si>
  <si>
    <t>2 flaming spear (close/near) +4 (1d6, ignites flammables) or 1 iron longbow (far) +2 (1d8)</t>
  </si>
  <si>
    <t>Impervious. Fire immune. Heat Aura. Creatures in close DC 12 CON on turn or 1d8 damage.</t>
  </si>
  <si>
    <t>Scarab, Swarm</t>
  </si>
  <si>
    <t>A chittering cloud of iridescent, oval-shaped beetles.</t>
  </si>
  <si>
    <t>2 bite +3 (1d6)</t>
  </si>
  <si>
    <t>Scarecrow</t>
  </si>
  <si>
    <t>Ragged clothes and a painted burlap head stuffed with straw. Possessed by a malicious spirit.</t>
  </si>
  <si>
    <t>2 claws +2 (1d6) or 1 scream</t>
  </si>
  <si>
    <t>Scream. Creatures who hear in double near DC 12 CHA or paralyzed for 1d4 rounds.</t>
  </si>
  <si>
    <t>Scorpion</t>
  </si>
  <si>
    <t>Desert-dwelling arachnids with pincers and curved tail stingers.</t>
  </si>
  <si>
    <t>1 sting +1 (1 + poison)</t>
  </si>
  <si>
    <t>Poison. DC 9 CON or go to 0 HP.</t>
  </si>
  <si>
    <t>Scorpion, Giant</t>
  </si>
  <si>
    <t>Chitin-plated scorpions as big as camels.</t>
  </si>
  <si>
    <t>1 claw +2 (1d6 + grab) and 1 sting +2 (1d4 + poison)</t>
  </si>
  <si>
    <t>Grab. DC 12 STR or target held. DC 12 STR on turn to break free. Poison. DC 12 CON or go to 0 HP.</t>
  </si>
  <si>
    <t>Shadow</t>
  </si>
  <si>
    <t>Flitting, sentient shadows in the vague shape of a human.</t>
  </si>
  <si>
    <t>2 touch +2 (1d4 + drain)</t>
  </si>
  <si>
    <t>Drain. DC 12 CON or target's STR reduced by 1. At 0 STR, target dies and becomes a shadow.</t>
  </si>
  <si>
    <t>Shambling Mound</t>
  </si>
  <si>
    <t>Fetid piles of slimy vegetation animated to life by lightning.</t>
  </si>
  <si>
    <t>2 slam +3 (1d6 + engulf)</t>
  </si>
  <si>
    <t>0</t>
  </si>
  <si>
    <t>Impervious. Fire immune. Healed by electricity.</t>
  </si>
  <si>
    <t>Engulf. If a target is hit by both slams in same round, it is pulled into shambling mound's body and suffocates in 2d4 rounds. DC 15 STR on turn to escape.</t>
  </si>
  <si>
    <t>Shark</t>
  </si>
  <si>
    <t>Bloodthirsty apex predators of the sea. Gray, torpedo-like body.</t>
  </si>
  <si>
    <t>15</t>
  </si>
  <si>
    <t>1 bite +3 (1d10)</t>
  </si>
  <si>
    <t>Shark, Megalodon</t>
  </si>
  <si>
    <t>Primordial sharks the size of whales. Savage hunters.</t>
  </si>
  <si>
    <t>8</t>
  </si>
  <si>
    <t>3 bite +7 (2d8)</t>
  </si>
  <si>
    <t>ouble near (swim)</t>
  </si>
  <si>
    <t>Siren</t>
  </si>
  <si>
    <t>Baleful fey with dove wings and iridescent fish scales. Their singing entrances listeners.</t>
  </si>
  <si>
    <t>18</t>
  </si>
  <si>
    <t>2 claw +2 (1d6) or 1 song</t>
  </si>
  <si>
    <t>near (swim, fly)</t>
  </si>
  <si>
    <t>Song. Enemies who can hear within double near DC 15 CHA or paralyzed 1d4 rounds. Immune for 1 day if passed check.</t>
  </si>
  <si>
    <t>Skeleton</t>
  </si>
  <si>
    <t>A bleach-boned skeleton with red pinpoints of light in its eyes.</t>
  </si>
  <si>
    <t>13 (chainmail)</t>
  </si>
  <si>
    <t>11</t>
  </si>
  <si>
    <t>1 shortsword +1 (1d6) or 1 shortbow (far) +0 (1d4)</t>
  </si>
  <si>
    <t>-1</t>
  </si>
  <si>
    <t>Smilodon</t>
  </si>
  <si>
    <t>Prehistoric tigers with long canine fangs. They hunt grasslands and ice fields.</t>
  </si>
  <si>
    <t>Snake, Cobra</t>
  </si>
  <si>
    <t>A weaving serpent with a neck hood and lethal venom.</t>
  </si>
  <si>
    <t>1 bite +2 (1 + poison)</t>
  </si>
  <si>
    <t>Poison. DC 18 CON or go to 0 HP with a death timer of 1.</t>
  </si>
  <si>
    <t>Snake, Giant</t>
  </si>
  <si>
    <t>An enormous, mottled serpent that can swallow a cow whole.</t>
  </si>
  <si>
    <t>2 bite +4 (1d6) and 1 constrict (near)</t>
  </si>
  <si>
    <t>Constrict. Contested STR to hold target immobile for one round.</t>
  </si>
  <si>
    <t>Snake, Swarm</t>
  </si>
  <si>
    <t>A roiling wave of snakes darting and flowing across the ground.</t>
  </si>
  <si>
    <t>3 bite +2 (1d4 + poison)</t>
  </si>
  <si>
    <t>Poison. DC 12 CON or go to 0 HP in 1d4 rounds.</t>
  </si>
  <si>
    <t>Soldier</t>
  </si>
  <si>
    <t>An armed footsoldier trained in the ways of battlefield combat.</t>
  </si>
  <si>
    <t>1 longsword +2 (1d8) or 1 crossbow (far) +1 (1d6)</t>
  </si>
  <si>
    <t>Sphinx</t>
  </si>
  <si>
    <t>A winged, leonine oracle who can see into time and space and often speaks in riddles. Lives in isolated mountains.</t>
  </si>
  <si>
    <t>3 claw +7 (1d10) or 2 spell +5</t>
  </si>
  <si>
    <t>Roar. In place of attacks, all creatures who can hear within far DC 18 CHA or paralyzed 1d4 rounds.</t>
  </si>
  <si>
    <t>Omens (WIS Spell). DC 12. Self. ADV on all actions for 1d4 rounds.</t>
  </si>
  <si>
    <t>Riddle (WIS Spell). DC 12. One target in far DC 15 INT or stupefied 1d4 rounds.</t>
  </si>
  <si>
    <t>Time Bend (WIS Spell). DC 14. One target in near frozen in time for 1d4 rounds.</t>
  </si>
  <si>
    <t>Unmake (WIS Spell). DC 13. One target in far takes 3d8 damage.</t>
  </si>
  <si>
    <t>Spider</t>
  </si>
  <si>
    <t>Silent, web-weaving arachnids with a flesh-dissolving venom.</t>
  </si>
  <si>
    <t>1 bite +1 (1 + poison)</t>
  </si>
  <si>
    <t>Poison. DC 9 CON or take 1d4 damage.</t>
  </si>
  <si>
    <t>Spider, Giant</t>
  </si>
  <si>
    <t>Bulbous abdomen and eight, spindly legs. Dwells high in trees or caves and ambushes prey, capturing them to eat later.</t>
  </si>
  <si>
    <t>1 bite +3 (1d4 + poison)</t>
  </si>
  <si>
    <t>Poison. DC 12 CON or paralyzed 1d4 hours.</t>
  </si>
  <si>
    <t>Spider, Swarm</t>
  </si>
  <si>
    <t>A scurrying carpet of spiders.</t>
  </si>
  <si>
    <t>Stingbat</t>
  </si>
  <si>
    <t>Darting, orange insect-bat with four wings and needlelike beak.</t>
  </si>
  <si>
    <t>1 beak +2 (1d4 + blood drain)</t>
  </si>
  <si>
    <t>Blood Drain. Attach to bitten target; auto-hit the next round. DC 9 STR on turn to remove.</t>
  </si>
  <si>
    <t>Strangler</t>
  </si>
  <si>
    <t>A gray-skinned, gaunt creature with four ropy limbs tipped in sucker-lined claws.</t>
  </si>
  <si>
    <t>2 claws +2 (1d6)</t>
  </si>
  <si>
    <t>Stealthy. ADV on DEX checks to hide and sneak.</t>
  </si>
  <si>
    <t>Strangle. Deals x2 damage against surprised creatures.</t>
  </si>
  <si>
    <t>The Tarrasque</t>
  </si>
  <si>
    <t>A colossal, four-legged reptile with crocodilian jaws, amber scales, and a diamond-hard, spiked carapace. It towers overhead like a mountain, able to swallow entire villages in one gulp. The tarrasque hibernates deep in the earth or at the bottom of the sea for centuries, only awakening long enough to fill its vast belly in an indiscriminate rampage of terror and destruction. There is only one tarrasque, and it is the most dreaded creature to walk the earth.</t>
  </si>
  <si>
    <t>4 thrash (near) +13 (3d10 + sever) and 1 bite (near) +13 (5d10 + sever + swallow)</t>
  </si>
  <si>
    <t>triple near (burrow, swim)</t>
  </si>
  <si>
    <t>Legendary. Only damaged by magical sources. Hostile spells targeting the tarrasque are DC 18 to cast.</t>
  </si>
  <si>
    <t>Deep Dweller. Immune to harm from fire and cold. Amphibious.</t>
  </si>
  <si>
    <t>Permanent Death. Cannot be permanently killed unless a wish spell is cast on it while it is at 0 HP.</t>
  </si>
  <si>
    <t>Rampage. In place of attacks, move far in a straight line and make one bite attack. On a hit, triple damage.</t>
  </si>
  <si>
    <t>Reflective Carapace. Immune to rays, blasts, or bolts of energy. 1:6 chance these are reflected back at their originator.</t>
  </si>
  <si>
    <t>Regeneration. Regains 4d10 lost HP at the beginning of its turn.</t>
  </si>
  <si>
    <t>Sever. On a natural attack roll of 18+, the attack also severs a random limb. 1d6: 1. Head, 2-4. Arm, 5-6. Leg.</t>
  </si>
  <si>
    <t>Swallow. DC 18 STR or swallowed whole. Total darkness inside and 4d10 damage per round. Tarrasque regurgitates all swallowed if dealt at least 30 damage in one round to the inside of its gullet.</t>
  </si>
  <si>
    <t>The Ten-Eyed Oracle</t>
  </si>
  <si>
    <t>A floating mass of rubbery skin crusted with barnacles. Its ten eyestalks writhe like snakes, and a deep, circular scar mars its central body, blinding what was once a large eye above a lipless maw. The Ten-Eyed Oracle stalks the Shadowdark, burbling mad prophesies and somehow moving freely between the lightless fathoms of the earth. The keepers of the deep lore suspect The Ten-Eyed Oracle was once a benevolent ally of mankind, but an unknown calamity drove it to insanity and reckless hatred.</t>
  </si>
  <si>
    <t>2d4 eyestalk ray</t>
  </si>
  <si>
    <t>Legendary. Only damaged by magical sources. Hostile spells targeting The Ten-Eyed Oracle are DC 18 to cast.</t>
  </si>
  <si>
    <t>Eyestalk Ray. Each ray can shoot once per round and target one creature or an object up to 1,000 pounds (up to four on same target).
1. Charm. DC 15 CHA or become ally for 1d4 rounds.
2. Hold. DC 15 STR or paralyzed 1d4 rounds.
3. Sleep. DC 15 WIS or asleep 1d4 rounds.
4. Polymorph. DC 15 INT or turned into vermin for 1d4 rounds.
5. Cancel. DC 15 DEX or all magical effects on target end.
6. Confusion. DC 15 WIS or attack a random ally within near.
7. Telekinesis. DC 15 STR or hover target up to double near.
8. Disintegrate. DC 15 DEX or 5d8 damage (object destroyed).
9. Petrify. DC 15 CON or petrified.
10. Death. DC 15 CON or drop to 0 HP with a death timer of 1.</t>
  </si>
  <si>
    <t>The Wandering Merchant</t>
  </si>
  <si>
    <t>A cheerful merchant who appears to be a hale, middle-aged human man with a handlebar mustache. He wears a white shirt, breeches, and leather apron, and he hauls a towering backpack bursting at the seams. Few know the merchant's true nature and origins, though some theorize he is an immortal being or a god (they are not entirely incorrect). The Wandering Merchant always has something useful, far-flung, or incredible to sell at a reasonable price, and there's no telling when or where he'll show up next...</t>
  </si>
  <si>
    <t>16 (mithral chainmail)</t>
  </si>
  <si>
    <t>4 +3 vorpal bastard sword +9 (1d10 + lop)</t>
  </si>
  <si>
    <t>Legendary. Only damaged by magical sources. Hostile spells targeting The Wandering Merchant are DC 18 to cast.</t>
  </si>
  <si>
    <t>Amulet of Rahm-Hotep. In place of attacks, teleport to a random location in the multiverse.</t>
  </si>
  <si>
    <t>Bottomless Bag: Contains 200 gear slots in magical sub-pockets. Weighs as much as a normal backpack. The Wandering Merchant can summon it to himself from anywhere by snapping his fingers.</t>
  </si>
  <si>
    <t>Dice of Truth: A set of three six-sided dice whose rolls cannot be magically or mundanely altered in any way.</t>
  </si>
  <si>
    <t>Lop. On a natural attack roll of 18-20, behead the target.</t>
  </si>
  <si>
    <t>Reckoning. Any creature who steals from The Wandering Merchant develops a curse. Over the next 2d8 days, that creature turns into a cockatrice. This curse can only be lifted by a wish spell or by returning the stolen goods.</t>
  </si>
  <si>
    <t>Strange Lands. The Wandering Merchant does not suffer any ill effects from the natural environment he does not wish to suffer.</t>
  </si>
  <si>
    <t>Thief</t>
  </si>
  <si>
    <t>A cat burglar in a black cloak.</t>
  </si>
  <si>
    <t>13 (leather)</t>
  </si>
  <si>
    <t>13</t>
  </si>
  <si>
    <t>1 dagger (close/near) +2 (1d4) or 1 shortsword +0 (1d6)</t>
  </si>
  <si>
    <t>Stealthy. ADV on DEX checks to sneak and hide.</t>
  </si>
  <si>
    <t>Backstab. Deal x2 damage against surprised creatures.</t>
  </si>
  <si>
    <t>Thug</t>
  </si>
  <si>
    <t>A bruised and boorish ruffian.</t>
  </si>
  <si>
    <t>13 (leather + shield)</t>
  </si>
  <si>
    <t>1 shortsword +1 (1d6)</t>
  </si>
  <si>
    <t>Treant</t>
  </si>
  <si>
    <t>Peaceful, slow-moving trees with merry eyes and tremulous voices. They protect the forest.</t>
  </si>
  <si>
    <t>3 slam +8 (1d10) or 1 rock (far) +8 (2d12)</t>
  </si>
  <si>
    <t>Animate Tree. 2/day. In place of attacks, one tree within near awakens as a treant ally without this ability. Reverts back in 1 day.</t>
  </si>
  <si>
    <t>Troll</t>
  </si>
  <si>
    <t>Green, lanky giants with warty skin and territorial rage. Lair in deep forests and swamps.</t>
  </si>
  <si>
    <t>24</t>
  </si>
  <si>
    <t>2 claw +4 (1d6) and 1 bite +4 (1d10)</t>
  </si>
  <si>
    <t>Regenerate. Regains 2d6 HP on its turn unless its wounds are cauterized with fire or acid.</t>
  </si>
  <si>
    <t>Troll, Frost</t>
  </si>
  <si>
    <t>Rime-covered trolls with blue skin and flinty, black eyes. They stalk arctic lands and frozen boreal forests.</t>
  </si>
  <si>
    <t>2 claw +5 (1d8) and 1 bite +5 (1d12)</t>
  </si>
  <si>
    <t>Impervious. Cold and fire immune.</t>
  </si>
  <si>
    <t>Regenerate. Regains 2d6 HP on its turn unless its wounds are cauterized with acid.</t>
  </si>
  <si>
    <t>Unicorn</t>
  </si>
  <si>
    <t>A silvery horse with a flowing mane and a single spiral horn.</t>
  </si>
  <si>
    <t>Healing Horn. A touch heals 2d6 HP or ends one curse or disease.</t>
  </si>
  <si>
    <t>Vampire</t>
  </si>
  <si>
    <t>Pale, blood-drinking undead of supreme power and wickedness. They loathe sunlight and protect</t>
  </si>
  <si>
    <t>3 bite +7 (1d8 + blood drain) or 1 charm</t>
  </si>
  <si>
    <t>Blood Drain. Vampire heals 2d6 HP and target loses 1d4 CON. At 0 CON, target dies and rises as a</t>
  </si>
  <si>
    <t>Charm. One humanoid target who can see vampire within near, DC 15 CHA or under vampire's control</t>
  </si>
  <si>
    <t>Shapechange. In place of attacks, turn into a bat, wolf, or back into regular form.</t>
  </si>
  <si>
    <t>Vampire. Must sleep in a coffin daily or loses 2d6 HP each day that can't be healed until resting in coffin. Takes 3d8 damage each round while in direct sunlight. Cannot be killed unless pierced through heart with a wooden stake while at 0 HP.</t>
  </si>
  <si>
    <t>Vampire Spawn</t>
  </si>
  <si>
    <t>Lesser, feral vampires born from the bite of their vampiric sires. Bloodthirsty and savage. They rarely leave a victim alive.</t>
  </si>
  <si>
    <t>2 bite +4 (1d8 + blood drain)</t>
  </si>
  <si>
    <t>Blood Drain. Vampire heals 2d6 HP and target loses 1d4 CON. At 0 CON, target dies and rises as an allied vampire spawn.</t>
  </si>
  <si>
    <t>Violet Fungus</t>
  </si>
  <si>
    <t>Child-sized, creeping fungi with neon purple caps. Their whiplike roots decompose living flesh.</t>
  </si>
  <si>
    <t>2 tendril (near) +0 (1d4)</t>
  </si>
  <si>
    <t>close</t>
  </si>
  <si>
    <t>Viperian</t>
  </si>
  <si>
    <t>Lithe, snake-headed people with cobra hoods and emerald green scales covering their bodies.</t>
  </si>
  <si>
    <t>2 scimitar +2 (1d6) or 1 javelin (close/far) +2 (1d4)</t>
  </si>
  <si>
    <t>Viperian, Ophid</t>
  </si>
  <si>
    <t>A giant anaconda body merges into a humanoid torso with a large snake head. It wears golden torcs and strings of glittering moonstones.</t>
  </si>
  <si>
    <t>3 falchion +5 (1d10) or 2 longbow (far) +3 (1d8)</t>
  </si>
  <si>
    <t>Impervious. Can only be harmed by magical sources.</t>
  </si>
  <si>
    <t>Viperian, Wizard</t>
  </si>
  <si>
    <t>Thin viperians with scales tinged in black. They wear silk robes and silver, serpentine jewelry.</t>
  </si>
  <si>
    <t>1 dagger (close/near) +2 (1d4) or 2 spell +5</t>
  </si>
  <si>
    <t>Hiss (INT Spell). DC 12. End one spell within far.</t>
  </si>
  <si>
    <t>Summon Cobra (INT Spell). DC 13. Summon 1d4 loyal cobras that appear within near. They leave in 1d4 rounds.</t>
  </si>
  <si>
    <t>Venom (INT Spell). DC 12. One target in far takes 2d8 damage.</t>
  </si>
  <si>
    <t>Whispers (INT Spell). DC 14. Focus. All enemies within near of viperian wizard have DISADV on spellcasting checks for the duration.</t>
  </si>
  <si>
    <t>Vulture</t>
  </si>
  <si>
    <t>Scavenger birds with black feathers, hunched backs, and bald heads.</t>
  </si>
  <si>
    <t>1 tear +1 (1d4)</t>
  </si>
  <si>
    <t>Carrion Tracker. Can track dead flesh unerringly within a mile.</t>
  </si>
  <si>
    <t>Wasp, Giant</t>
  </si>
  <si>
    <t>Man-sized wasps with glossy, yellow-striped abdomens.</t>
  </si>
  <si>
    <t>1 sting +3 (1d6+venom)</t>
  </si>
  <si>
    <t>Venom. DC 9 CON or go to 0 HP.</t>
  </si>
  <si>
    <t>Wererat</t>
  </si>
  <si>
    <t>A slinking, rat-faced humanoid covered in mangy fur.</t>
  </si>
  <si>
    <t>Impervious. Only damaged by silver or magic sources.</t>
  </si>
  <si>
    <t>Lycanthropy. If 12 or more damage from the same wererat, contract lycanthropy.</t>
  </si>
  <si>
    <t>Werewolf</t>
  </si>
  <si>
    <t>A bipedal, wolf-faced humanoid covered in brown fur.</t>
  </si>
  <si>
    <t>Lycanthropy. If 12 or more damage from the same werewolf, contract lycanthropy.</t>
  </si>
  <si>
    <t>Wight</t>
  </si>
  <si>
    <t>A pale, armored undead warrior with sinister intelligence.</t>
  </si>
  <si>
    <t>1 bastard sword +3 (1d10) and 1 life drain +3</t>
  </si>
  <si>
    <t>Will-O'-Wisp</t>
  </si>
  <si>
    <t>A bobbing marsh light animated by an evil spirit. It tries to lead the living into danger.</t>
  </si>
  <si>
    <t>1 life drain +3</t>
  </si>
  <si>
    <t>Wolf</t>
  </si>
  <si>
    <t>A giant canine with a gray pelt, yellow eyes, and dripping jaws.</t>
  </si>
  <si>
    <t>Pack Hunter. Deals +1 damage while an ally is close.</t>
  </si>
  <si>
    <t>Wolf, Dire</t>
  </si>
  <si>
    <t>A massive wolf with spines of black bone along its brow ridge and back.</t>
  </si>
  <si>
    <t>2 bite +4 (1d8)</t>
  </si>
  <si>
    <t>Pack Hunter. Deals +1 damage while next to an ally.</t>
  </si>
  <si>
    <t>Wolf, Winter</t>
  </si>
  <si>
    <t>Sinister, white-pelted wolves with piercing blue eyes. From the fey realms of eternal winter.</t>
  </si>
  <si>
    <t>2 bite +4 (1d6)</t>
  </si>
  <si>
    <t>Impervious. Cold immune.</t>
  </si>
  <si>
    <t>Frost Breath. Fills a near-sized cube extending from winter wolf. DC 15 DEX or 3d8 damage. Cannot use again for 1d4 rounds.</t>
  </si>
  <si>
    <t>Worg</t>
  </si>
  <si>
    <t>Bat-faced wolves that speak Goblin and often serve as war mounts for goblinkind.</t>
  </si>
  <si>
    <t>1 bite +3 (1d6)</t>
  </si>
  <si>
    <t>Wraith</t>
  </si>
  <si>
    <t>A shadowy spirit seething with anger and malice. Its presence is unsettling to animals.</t>
  </si>
  <si>
    <t>3 death touch +6 (1d10 + life drain)</t>
  </si>
  <si>
    <t>Incorporeal. In place of attacks, become corporeal or incorporeal.</t>
  </si>
  <si>
    <t>Wyvern</t>
  </si>
  <si>
    <t>Dragon-cousins with a large tail stinger, mottled lizard skin, and leathery wings.</t>
  </si>
  <si>
    <t>2 rend +6 (1d8) and 1 stinger +6 (1d6 + poison)</t>
  </si>
  <si>
    <t>Poison. DC 15 CON or take 2d10 damage.</t>
  </si>
  <si>
    <t>Zombie</t>
  </si>
  <si>
    <t>Lurching and decomposed undead that hunt in mobs.</t>
  </si>
  <si>
    <t>1 slam +2 (1d6)</t>
  </si>
  <si>
    <t>Relentless. If zombie reduced to 0 HP by a non-magical source, DC 15 CON to go to 1 HP instead.</t>
  </si>
  <si>
    <t>Unofficial Shadowdark Monster List Created by:</t>
  </si>
  <si>
    <t>Michael Putlack | Night Noon Games</t>
  </si>
  <si>
    <t>Shadowdark RPG Monsters Written by:</t>
  </si>
  <si>
    <t>Kelsey Dionne | The Arcane Library</t>
  </si>
  <si>
    <t>Special thanks to Kelsey and the great community
that has quickly developed around her game.</t>
  </si>
  <si>
    <r>
      <rPr>
        <rFont val="Arial"/>
      </rPr>
      <t xml:space="preserve">The Unofficial Shadowdark Monster List tool is licensed under a </t>
    </r>
    <r>
      <rPr>
        <rFont val="Arial"/>
        <color rgb="FF1155CC"/>
        <u/>
      </rPr>
      <t>Creative Commons Attribution-ShareAlike 4.0 International License</t>
    </r>
    <r>
      <rPr>
        <rFont val="Arial"/>
      </rPr>
      <t>.The spells themseves are used under the Shadowdark RPG Third-Party License Version 1.0 (below).</t>
    </r>
  </si>
  <si>
    <r>
      <rPr>
        <rFont val="Arial"/>
      </rPr>
      <t xml:space="preserve">If you using this tool in your own work, please use this credit:
"Created with the help of the </t>
    </r>
    <r>
      <rPr>
        <rFont val="Arial"/>
        <color rgb="FF1155CC"/>
        <u/>
      </rPr>
      <t xml:space="preserve">Unoffical Shadowdark Monster List
</t>
    </r>
    <r>
      <rPr>
        <rFont val="Arial"/>
      </rPr>
      <t xml:space="preserve">by Michael Putlack of Night Noon Games. </t>
    </r>
    <r>
      <rPr>
        <rFont val="Arial"/>
        <color rgb="FF1155CC"/>
        <u/>
      </rPr>
      <t>NightNoon.games</t>
    </r>
    <r>
      <rPr>
        <rFont val="Arial"/>
      </rPr>
      <t>"</t>
    </r>
  </si>
  <si>
    <t>Unofficial Shadowdark Monster List is an independent product published under the Shadowdark RPG Third-Party License and is not affiliated with The Arcane Library, LLC. Shadowdark RPG © 2023 The Arcane Library, LLC.</t>
  </si>
  <si>
    <t>JSL Blackletter Font © 1997-2000 Jeffrey S. Lee</t>
  </si>
  <si>
    <t>v1.0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</si>
</sst>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
  </numFmts>
  <fonts count="15">
    <font>
      <sz val="10.0"/>
      <color rgb="FF000000"/>
      <name val="Arial"/>
      <scheme val="minor"/>
    </font>
    <font>
      <b/>
      <u/>
      <color rgb="FF0000FF"/>
      <name val="Roboto"/>
    </font>
    <font>
      <b/>
      <u/>
      <sz val="14.0"/>
      <color rgb="FF0000FF"/>
    </font>
    <font>
      <b/>
      <color theme="1"/>
      <name val="Arial"/>
      <scheme val="minor"/>
    </font>
    <font>
      <color theme="1"/>
      <name val="Arial"/>
    </font>
    <font>
      <b/>
      <u/>
      <sz val="13.0"/>
      <color rgb="FF0000FF"/>
    </font>
    <font>
      <b/>
      <color rgb="FFFFFFFF"/>
      <name val="Roboto"/>
    </font>
    <font>
      <b/>
      <color theme="1"/>
      <name val="Arial"/>
    </font>
    <font>
      <color theme="1"/>
      <name val="Roboto"/>
    </font>
    <font>
      <color theme="1"/>
      <name val="Arial"/>
      <scheme val="minor"/>
    </font>
    <font>
      <b/>
      <color rgb="FFFFFFFF"/>
      <name val="Arial"/>
      <scheme val="minor"/>
    </font>
    <font/>
    <font>
      <b/>
      <u/>
      <color rgb="FF1155CC"/>
      <name val="Arial"/>
    </font>
    <font>
      <u/>
      <color rgb="FF0000FF"/>
      <name val="Arial"/>
    </font>
    <font>
      <sz val="6.0"/>
      <color theme="1"/>
      <name val="Arial"/>
    </font>
  </fonts>
  <fills count="5">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F3F3F3"/>
        <bgColor rgb="FFF3F3F3"/>
      </patternFill>
    </fill>
  </fills>
  <borders count="7">
    <border/>
    <border>
      <top style="thick">
        <color rgb="FFFFFFFF"/>
      </top>
      <bottom style="thick">
        <color rgb="FFFFFFFF"/>
      </bottom>
    </border>
    <border>
      <right style="thick">
        <color rgb="FFFFFFFF"/>
      </right>
      <bottom style="thick">
        <color rgb="FFFFFFFF"/>
      </bottom>
    </border>
    <border>
      <bottom style="thick">
        <color rgb="FFFFFFFF"/>
      </bottom>
    </border>
    <border>
      <left style="thick">
        <color rgb="FFFFFFFF"/>
      </left>
    </border>
    <border>
      <right style="thick">
        <color rgb="FFFFFFFF"/>
      </right>
    </border>
    <border>
      <left style="thick">
        <color rgb="FFFFFFFF"/>
      </left>
      <bottom style="thick">
        <color rgb="FFFFFFFF"/>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horizontal="center" readingOrder="0" vertical="center"/>
    </xf>
    <xf borderId="0" fillId="0" fontId="3" numFmtId="0" xfId="0" applyAlignment="1" applyFont="1">
      <alignment readingOrder="0"/>
    </xf>
    <xf borderId="0" fillId="0" fontId="4" numFmtId="0" xfId="0" applyAlignment="1" applyFont="1">
      <alignment shrinkToFit="0" wrapText="1"/>
    </xf>
    <xf borderId="0" fillId="0" fontId="5" numFmtId="0" xfId="0" applyAlignment="1" applyFont="1">
      <alignment horizontal="center" readingOrder="0" vertical="center"/>
    </xf>
    <xf borderId="0" fillId="0" fontId="3" numFmtId="0" xfId="0" applyAlignment="1" applyFont="1">
      <alignment horizontal="center" readingOrder="0" vertical="bottom"/>
    </xf>
    <xf borderId="0" fillId="0" fontId="4" numFmtId="3" xfId="0" applyFont="1" applyNumberFormat="1"/>
    <xf borderId="0" fillId="2" fontId="6" numFmtId="0" xfId="0" applyAlignment="1" applyFill="1" applyFont="1">
      <alignment horizontal="center" readingOrder="0" shrinkToFit="0" vertical="bottom" wrapText="1"/>
    </xf>
    <xf borderId="0" fillId="2" fontId="6" numFmtId="0" xfId="0" applyAlignment="1" applyFont="1">
      <alignment horizontal="center" shrinkToFit="0" vertical="bottom" wrapText="1"/>
    </xf>
    <xf borderId="0" fillId="0" fontId="7" numFmtId="0" xfId="0" applyFont="1"/>
    <xf borderId="0" fillId="0" fontId="8" numFmtId="0" xfId="0" applyAlignment="1" applyFont="1">
      <alignment horizontal="left" shrinkToFit="0" vertical="top" wrapText="1"/>
    </xf>
    <xf borderId="0" fillId="0" fontId="8" numFmtId="164" xfId="0" applyAlignment="1" applyFont="1" applyNumberFormat="1">
      <alignment horizontal="center" shrinkToFit="0" vertical="top" wrapText="1"/>
    </xf>
    <xf borderId="0" fillId="0" fontId="8" numFmtId="3" xfId="0" applyAlignment="1" applyFont="1" applyNumberFormat="1">
      <alignment horizontal="left" shrinkToFit="0" vertical="top" wrapText="1"/>
    </xf>
    <xf borderId="0" fillId="0" fontId="8" numFmtId="0" xfId="0" applyAlignment="1" applyFont="1">
      <alignment horizontal="left" readingOrder="0" shrinkToFit="0" vertical="top" wrapText="1"/>
    </xf>
    <xf borderId="0" fillId="0" fontId="8" numFmtId="164" xfId="0" applyAlignment="1" applyFont="1" applyNumberFormat="1">
      <alignment horizontal="center" readingOrder="0" shrinkToFit="0" vertical="top" wrapText="1"/>
    </xf>
    <xf borderId="0" fillId="3" fontId="8" numFmtId="0" xfId="0" applyAlignment="1" applyFill="1" applyFont="1">
      <alignment shrinkToFit="0" vertical="top" wrapText="1"/>
    </xf>
    <xf borderId="0" fillId="4" fontId="8" numFmtId="0" xfId="0" applyAlignment="1" applyFill="1" applyFont="1">
      <alignment shrinkToFit="0" vertical="top" wrapText="1"/>
    </xf>
    <xf borderId="0" fillId="3" fontId="8" numFmtId="0" xfId="0" applyAlignment="1" applyFont="1">
      <alignment readingOrder="0" shrinkToFit="0" vertical="top" wrapText="1"/>
    </xf>
    <xf borderId="0" fillId="4" fontId="8" numFmtId="0" xfId="0" applyAlignment="1" applyFont="1">
      <alignment readingOrder="0" shrinkToFit="0" vertical="top" wrapText="1"/>
    </xf>
    <xf borderId="0" fillId="0" fontId="8" numFmtId="3" xfId="0" applyAlignment="1" applyFont="1" applyNumberFormat="1">
      <alignment horizontal="left" readingOrder="0" shrinkToFit="0" vertical="top" wrapText="1"/>
    </xf>
    <xf borderId="0" fillId="0" fontId="9" numFmtId="0" xfId="0" applyFont="1"/>
    <xf borderId="0" fillId="0" fontId="9" numFmtId="164" xfId="0" applyAlignment="1" applyFont="1" applyNumberFormat="1">
      <alignment horizontal="center"/>
    </xf>
    <xf borderId="0" fillId="2" fontId="10" numFmtId="0" xfId="0" applyAlignment="1" applyFont="1">
      <alignment horizontal="left" shrinkToFit="0" vertical="center" wrapText="1"/>
    </xf>
    <xf borderId="0" fillId="2" fontId="10" numFmtId="0" xfId="0" applyAlignment="1" applyFont="1">
      <alignment horizontal="center" shrinkToFit="0" vertical="center" wrapText="1"/>
    </xf>
    <xf borderId="0" fillId="2" fontId="10" numFmtId="0" xfId="0" applyAlignment="1" applyFont="1">
      <alignment horizontal="center" vertical="center"/>
    </xf>
    <xf borderId="0" fillId="0" fontId="3" numFmtId="0" xfId="0" applyAlignment="1" applyFont="1">
      <alignment horizontal="left" shrinkToFit="0" vertical="top" wrapText="1"/>
    </xf>
    <xf borderId="0" fillId="0" fontId="9" numFmtId="164" xfId="0" applyAlignment="1" applyFont="1" applyNumberFormat="1">
      <alignment horizontal="left" shrinkToFit="0" vertical="top" wrapText="1"/>
    </xf>
    <xf borderId="0" fillId="0" fontId="9" numFmtId="0" xfId="0" applyAlignment="1" applyFont="1">
      <alignment horizontal="left" shrinkToFit="0" vertical="top" wrapText="1"/>
    </xf>
    <xf borderId="0" fillId="0" fontId="9" numFmtId="0" xfId="0" applyAlignment="1" applyFont="1">
      <alignment horizontal="left" vertical="top"/>
    </xf>
    <xf borderId="0" fillId="0" fontId="9" numFmtId="0" xfId="0" applyAlignment="1" applyFont="1">
      <alignment shrinkToFit="0" vertical="top" wrapText="1"/>
    </xf>
    <xf borderId="0" fillId="0" fontId="9" numFmtId="0" xfId="0" applyAlignment="1" applyFont="1">
      <alignment vertical="top"/>
    </xf>
    <xf borderId="0" fillId="0" fontId="9" numFmtId="3" xfId="0" applyAlignment="1" applyFont="1" applyNumberFormat="1">
      <alignment horizontal="left" shrinkToFit="0" vertical="top" wrapText="1"/>
    </xf>
    <xf borderId="1" fillId="0" fontId="7" numFmtId="0" xfId="0" applyAlignment="1" applyBorder="1" applyFont="1">
      <alignment horizontal="center" readingOrder="0" vertical="bottom"/>
    </xf>
    <xf borderId="1" fillId="0" fontId="11" numFmtId="0" xfId="0" applyBorder="1" applyFont="1"/>
    <xf borderId="2" fillId="3" fontId="4" numFmtId="0" xfId="0" applyAlignment="1" applyBorder="1" applyFont="1">
      <alignment vertical="bottom"/>
    </xf>
    <xf borderId="3" fillId="3" fontId="12" numFmtId="0" xfId="0" applyAlignment="1" applyBorder="1" applyFont="1">
      <alignment horizontal="center" vertical="bottom"/>
    </xf>
    <xf borderId="3" fillId="0" fontId="11" numFmtId="0" xfId="0" applyBorder="1" applyFont="1"/>
    <xf borderId="2" fillId="0" fontId="11" numFmtId="0" xfId="0" applyBorder="1" applyFont="1"/>
    <xf borderId="3" fillId="3" fontId="4" numFmtId="0" xfId="0" applyAlignment="1" applyBorder="1" applyFont="1">
      <alignment vertical="bottom"/>
    </xf>
    <xf borderId="3" fillId="0" fontId="7" numFmtId="0" xfId="0" applyAlignment="1" applyBorder="1" applyFont="1">
      <alignment horizontal="center" readingOrder="0" vertical="bottom"/>
    </xf>
    <xf borderId="4" fillId="0" fontId="7" numFmtId="0" xfId="0" applyAlignment="1" applyBorder="1" applyFont="1">
      <alignment horizontal="center" shrinkToFit="0" wrapText="1"/>
    </xf>
    <xf borderId="5" fillId="0" fontId="11" numFmtId="0" xfId="0" applyBorder="1" applyFont="1"/>
    <xf borderId="6" fillId="0" fontId="11" numFmtId="0" xfId="0" applyBorder="1" applyFont="1"/>
    <xf borderId="0" fillId="0" fontId="7" numFmtId="0" xfId="0" applyAlignment="1" applyFont="1">
      <alignment horizontal="center" shrinkToFit="0" vertical="bottom" wrapText="1"/>
    </xf>
    <xf borderId="0" fillId="3" fontId="13" numFmtId="0" xfId="0" applyAlignment="1" applyFont="1">
      <alignment horizontal="center" readingOrder="0" shrinkToFit="0" wrapText="1"/>
    </xf>
    <xf borderId="0" fillId="3" fontId="4" numFmtId="0" xfId="0" applyAlignment="1" applyFont="1">
      <alignment horizontal="center" readingOrder="0" shrinkToFit="0" wrapText="1"/>
    </xf>
    <xf borderId="3" fillId="3" fontId="4" numFmtId="0" xfId="0" applyAlignment="1" applyBorder="1" applyFont="1">
      <alignment horizontal="center"/>
    </xf>
    <xf borderId="0" fillId="3" fontId="14" numFmtId="0" xfId="0" applyAlignment="1" applyFont="1">
      <alignment horizontal="right" readingOrder="0" vertical="bottom"/>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EF7FF"/>
          <bgColor rgb="FFEEF7FF"/>
        </patternFill>
      </fill>
      <border/>
    </dxf>
  </dxfs>
  <tableStyles count="12">
    <tableStyle count="2" pivot="0" name="All-style">
      <tableStyleElement dxfId="1" type="firstRowStripe"/>
      <tableStyleElement dxfId="2" type="secondRowStripe"/>
    </tableStyle>
    <tableStyle count="2" pivot="0" name="LV 0-1-style">
      <tableStyleElement dxfId="1" type="firstRowStripe"/>
      <tableStyleElement dxfId="2" type="secondRowStripe"/>
    </tableStyle>
    <tableStyle count="2" pivot="0" name="LV 2-style">
      <tableStyleElement dxfId="1" type="firstRowStripe"/>
      <tableStyleElement dxfId="2" type="secondRowStripe"/>
    </tableStyle>
    <tableStyle count="2" pivot="0" name="LV 3-style">
      <tableStyleElement dxfId="1" type="firstRowStripe"/>
      <tableStyleElement dxfId="2" type="secondRowStripe"/>
    </tableStyle>
    <tableStyle count="2" pivot="0" name="LV 4-style">
      <tableStyleElement dxfId="1" type="firstRowStripe"/>
      <tableStyleElement dxfId="2" type="secondRowStripe"/>
    </tableStyle>
    <tableStyle count="2" pivot="0" name="LV 5-style">
      <tableStyleElement dxfId="1" type="firstRowStripe"/>
      <tableStyleElement dxfId="2" type="secondRowStripe"/>
    </tableStyle>
    <tableStyle count="2" pivot="0" name="LV 6-style">
      <tableStyleElement dxfId="1" type="firstRowStripe"/>
      <tableStyleElement dxfId="2" type="secondRowStripe"/>
    </tableStyle>
    <tableStyle count="2" pivot="0" name="LV 7-style">
      <tableStyleElement dxfId="1" type="firstRowStripe"/>
      <tableStyleElement dxfId="2" type="secondRowStripe"/>
    </tableStyle>
    <tableStyle count="2" pivot="0" name="LV 8-style">
      <tableStyleElement dxfId="1" type="firstRowStripe"/>
      <tableStyleElement dxfId="2" type="secondRowStripe"/>
    </tableStyle>
    <tableStyle count="2" pivot="0" name="LV 9-10-style">
      <tableStyleElement dxfId="1" type="firstRowStripe"/>
      <tableStyleElement dxfId="2" type="secondRowStripe"/>
    </tableStyle>
    <tableStyle count="2" pivot="0" name="LV 11-16-style">
      <tableStyleElement dxfId="1" type="firstRowStripe"/>
      <tableStyleElement dxfId="2" type="secondRowStripe"/>
    </tableStyle>
    <tableStyle count="2" pivot="0" name="LV 17-30 &amp; Othe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85950" cy="942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AB243"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All-style" showColumnStripes="0" showFirstColumn="1" showLastColumn="1" showRowStripes="1"/>
</table>
</file>

<file path=xl/tables/table2.xml><?xml version="1.0" encoding="utf-8"?>
<table xmlns="http://schemas.openxmlformats.org/spreadsheetml/2006/main" headerRowCount="0" ref="A2:AB25"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0-1-style" showColumnStripes="0" showFirstColumn="1" showLastColumn="1" showRowStripes="1"/>
</table>
</file>

<file path=xl/tables/table3.xml><?xml version="1.0" encoding="utf-8"?>
<table xmlns="http://schemas.openxmlformats.org/spreadsheetml/2006/main" headerRowCount="0" ref="A2:AB35" displayName="Table_3" name="Table_3"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2-style" showColumnStripes="0" showFirstColumn="1" showLastColumn="1" showRowStripes="1"/>
</table>
</file>

<file path=xl/tables/table4.xml><?xml version="1.0" encoding="utf-8"?>
<table xmlns="http://schemas.openxmlformats.org/spreadsheetml/2006/main" headerRowCount="0" ref="A2:AB34" displayName="Table_4" name="Table_4" id="4">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3-style" showColumnStripes="0" showFirstColumn="1" showLastColumn="1" showRowStripes="1"/>
</table>
</file>

<file path=xl/tables/table5.xml><?xml version="1.0" encoding="utf-8"?>
<table xmlns="http://schemas.openxmlformats.org/spreadsheetml/2006/main" headerRowCount="0" ref="A2:AB29" displayName="Table_5" name="Table_5" id="5">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4-style" showColumnStripes="0" showFirstColumn="1" showLastColumn="1" showRowStripes="1"/>
</table>
</file>

<file path=xl/tables/table6.xml><?xml version="1.0" encoding="utf-8"?>
<table xmlns="http://schemas.openxmlformats.org/spreadsheetml/2006/main" headerRowCount="0" ref="A2:AB18" displayName="Table_6" name="Table_6" id="6">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5-style" showColumnStripes="0" showFirstColumn="1" showLastColumn="1" showRowStripes="1"/>
</table>
</file>

<file path=xl/tables/table7.xml><?xml version="1.0" encoding="utf-8"?>
<table xmlns="http://schemas.openxmlformats.org/spreadsheetml/2006/main" headerRowCount="0" ref="A2:AB23" displayName="Table_7" name="Table_7" id="7">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6-style" showColumnStripes="0" showFirstColumn="1" showLastColumn="1" showRowStripes="1"/>
</table>
</file>

<file path=xl/tables/table8.xml><?xml version="1.0" encoding="utf-8"?>
<table xmlns="http://schemas.openxmlformats.org/spreadsheetml/2006/main" headerRowCount="0" ref="A2:AB14" displayName="Table_8" name="Table_8" id="8">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7-style" showColumnStripes="0" showFirstColumn="1" showLastColumn="1" showRowStripes="1"/>
</table>
</file>

<file path=xl/tables/table9.xml><?xml version="1.0" encoding="utf-8"?>
<table xmlns="http://schemas.openxmlformats.org/spreadsheetml/2006/main" headerRowCount="0" ref="A2:AB20" displayName="Table_9" name="Table_9" id="9">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8-style" showColumnStripes="0" showFirstColumn="1" showLastColumn="1" showRowStripes="1"/>
</table>
</file>

<file path=xl/tables/table10.xml><?xml version="1.0" encoding="utf-8"?>
<table xmlns="http://schemas.openxmlformats.org/spreadsheetml/2006/main" headerRowCount="0" ref="A2:AB21" displayName="Table_10" name="Table_10" id="10">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9-10-style" showColumnStripes="0" showFirstColumn="1" showLastColumn="1" showRowStripes="1"/>
</table>
</file>

<file path=xl/tables/table11.xml><?xml version="1.0" encoding="utf-8"?>
<table xmlns="http://schemas.openxmlformats.org/spreadsheetml/2006/main" headerRowCount="0" ref="A2:AB19" displayName="Table_11" name="Table_11" id="1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11-16-style" showColumnStripes="0" showFirstColumn="1" showLastColumn="1" showRowStripes="1"/>
</table>
</file>

<file path=xl/tables/table12.xml><?xml version="1.0" encoding="utf-8"?>
<table xmlns="http://schemas.openxmlformats.org/spreadsheetml/2006/main" headerRowCount="0" ref="A2:AB12" displayName="Table_12" name="Table_12" id="1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V 17-30 &amp; Oth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ightnoongames.itch.io/shadowdark-monsters" TargetMode="External"/><Relationship Id="rId2" Type="http://schemas.openxmlformats.org/officeDocument/2006/relationships/hyperlink" Target="https://stats.sender.net/forms/bqxLG7/view"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hyperlink" Target="https://bit.ly/3AUMaH6" TargetMode="External"/><Relationship Id="rId2" Type="http://schemas.openxmlformats.org/officeDocument/2006/relationships/hyperlink" Target="https://www.thearcanelibrary.com/pages/shadowdark?utm_source=Night_Noon&amp;utm_content=Unofficial_+Spell_List" TargetMode="External"/><Relationship Id="rId3" Type="http://schemas.openxmlformats.org/officeDocument/2006/relationships/hyperlink" Target="https://creativecommons.org/licenses/by-sa/4.0/" TargetMode="External"/><Relationship Id="rId4" Type="http://schemas.openxmlformats.org/officeDocument/2006/relationships/hyperlink" Target="https://nightnoongames.itch.io/shadowdark-spell-list?utm_source=credit&amp;utm_content=Unofficial_+Spell_List" TargetMode="External"/><Relationship Id="rId5"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16.13"/>
    <col customWidth="1" min="2" max="2" width="6.13"/>
    <col customWidth="1" min="3" max="3" width="9.13"/>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45.0" customHeight="1">
      <c r="D1" s="1" t="str">
        <f>HYPERLINK("https://bit.ly/3AUMaH6",IMAGE("https://docs.google.com/drawings/d/e/2PACX-1vTVp531OswDqgLbtAH17IZ8cCok9zrVPFK34jqpyR8JTRafQasvw437G-DgGEmB6SE9vxEhKK7WEhfJ/pub?w=660&amp;h=513"))</f>
        <v/>
      </c>
      <c r="E1" s="2" t="s">
        <v>0</v>
      </c>
      <c r="P1" s="3"/>
      <c r="Q1" s="4"/>
      <c r="R1" s="4"/>
      <c r="S1" s="4"/>
      <c r="T1" s="4"/>
    </row>
    <row r="2" ht="15.0" customHeight="1">
      <c r="E2" s="5" t="s">
        <v>1</v>
      </c>
      <c r="P2" s="3"/>
      <c r="Q2" s="4"/>
      <c r="R2" s="4"/>
      <c r="S2" s="4"/>
      <c r="T2" s="4"/>
    </row>
    <row r="3" ht="16.5" customHeight="1">
      <c r="E3" s="6"/>
      <c r="L3" s="3" t="s">
        <v>2</v>
      </c>
      <c r="P3" s="7"/>
      <c r="Q3" s="4"/>
      <c r="R3" s="4"/>
      <c r="S3" s="4"/>
      <c r="T3" s="4"/>
    </row>
    <row r="4" ht="15.75" customHeight="1">
      <c r="A4" s="8" t="s">
        <v>3</v>
      </c>
      <c r="B4" s="8" t="s">
        <v>4</v>
      </c>
      <c r="C4" s="9" t="s">
        <v>5</v>
      </c>
      <c r="D4" s="9" t="s">
        <v>6</v>
      </c>
      <c r="E4" s="9" t="s">
        <v>7</v>
      </c>
      <c r="F4" s="9" t="s">
        <v>8</v>
      </c>
      <c r="G4" s="9" t="s">
        <v>9</v>
      </c>
      <c r="H4" s="9" t="s">
        <v>10</v>
      </c>
      <c r="I4" s="9" t="s">
        <v>11</v>
      </c>
      <c r="J4" s="9" t="s">
        <v>12</v>
      </c>
      <c r="K4" s="9" t="s">
        <v>13</v>
      </c>
      <c r="L4" s="9" t="s">
        <v>14</v>
      </c>
      <c r="M4" s="9" t="s">
        <v>15</v>
      </c>
      <c r="N4" s="9" t="s">
        <v>16</v>
      </c>
      <c r="O4" s="9" t="s">
        <v>17</v>
      </c>
      <c r="P4" s="9" t="s">
        <v>18</v>
      </c>
      <c r="Q4" s="8" t="s">
        <v>19</v>
      </c>
      <c r="R4" s="8" t="s">
        <v>20</v>
      </c>
      <c r="S4" s="8" t="s">
        <v>21</v>
      </c>
      <c r="T4" s="8" t="s">
        <v>22</v>
      </c>
      <c r="U4" s="8" t="s">
        <v>23</v>
      </c>
      <c r="V4" s="8" t="s">
        <v>24</v>
      </c>
      <c r="W4" s="8" t="s">
        <v>25</v>
      </c>
      <c r="X4" s="8" t="s">
        <v>26</v>
      </c>
      <c r="Y4" s="8" t="s">
        <v>27</v>
      </c>
      <c r="Z4" s="8" t="s">
        <v>28</v>
      </c>
      <c r="AA4" s="10"/>
      <c r="AB4" s="10"/>
    </row>
    <row r="5" ht="15.75" customHeight="1">
      <c r="A5" s="11" t="s">
        <v>29</v>
      </c>
      <c r="B5" s="12">
        <v>10.0</v>
      </c>
      <c r="C5" s="11" t="s">
        <v>30</v>
      </c>
      <c r="D5" s="11" t="s">
        <v>31</v>
      </c>
      <c r="E5" s="11">
        <v>16.0</v>
      </c>
      <c r="F5" s="11">
        <v>39.0</v>
      </c>
      <c r="G5" s="11" t="s">
        <v>32</v>
      </c>
      <c r="H5" s="11" t="s">
        <v>33</v>
      </c>
      <c r="I5" s="11">
        <f>+4</f>
        <v>4</v>
      </c>
      <c r="J5" s="11">
        <v>-1.0</v>
      </c>
      <c r="K5" s="11">
        <f>+3</f>
        <v>3</v>
      </c>
      <c r="L5" s="11">
        <f>+4</f>
        <v>4</v>
      </c>
      <c r="M5" s="11">
        <f t="shared" ref="M5:N5" si="1">+2</f>
        <v>2</v>
      </c>
      <c r="N5" s="11">
        <f t="shared" si="1"/>
        <v>2</v>
      </c>
      <c r="O5" s="11" t="s">
        <v>13</v>
      </c>
      <c r="P5" s="13">
        <v>8.0</v>
      </c>
      <c r="Q5" s="11" t="s">
        <v>34</v>
      </c>
      <c r="R5" s="11" t="s">
        <v>35</v>
      </c>
      <c r="S5" s="11" t="s">
        <v>36</v>
      </c>
      <c r="T5" s="11"/>
      <c r="U5" s="11"/>
      <c r="V5" s="11"/>
      <c r="W5" s="11"/>
      <c r="X5" s="11"/>
      <c r="Y5" s="11"/>
      <c r="Z5" s="11"/>
      <c r="AA5" s="11"/>
      <c r="AB5" s="11"/>
    </row>
    <row r="6" ht="15.75" customHeight="1">
      <c r="A6" s="11" t="s">
        <v>37</v>
      </c>
      <c r="B6" s="12">
        <v>0.25</v>
      </c>
      <c r="C6" s="11" t="s">
        <v>30</v>
      </c>
      <c r="D6" s="11" t="s">
        <v>38</v>
      </c>
      <c r="E6" s="11">
        <v>12.0</v>
      </c>
      <c r="F6" s="11">
        <v>4.0</v>
      </c>
      <c r="G6" s="11" t="s">
        <v>39</v>
      </c>
      <c r="H6" s="11" t="s">
        <v>40</v>
      </c>
      <c r="I6" s="11">
        <f>+1</f>
        <v>1</v>
      </c>
      <c r="J6" s="11">
        <v>-1.0</v>
      </c>
      <c r="K6" s="11">
        <f>+0</f>
        <v>0</v>
      </c>
      <c r="L6" s="11">
        <v>-1.0</v>
      </c>
      <c r="M6" s="11">
        <f>+2</f>
        <v>2</v>
      </c>
      <c r="N6" s="11">
        <f>+0</f>
        <v>0</v>
      </c>
      <c r="O6" s="11" t="s">
        <v>41</v>
      </c>
      <c r="P6" s="13">
        <v>1.0</v>
      </c>
      <c r="Q6" s="11" t="s">
        <v>42</v>
      </c>
      <c r="R6" s="11"/>
      <c r="S6" s="11"/>
      <c r="T6" s="11"/>
      <c r="U6" s="11"/>
      <c r="V6" s="11"/>
      <c r="W6" s="11"/>
      <c r="X6" s="11"/>
      <c r="Y6" s="11"/>
      <c r="Z6" s="11"/>
      <c r="AA6" s="11"/>
      <c r="AB6" s="11"/>
    </row>
    <row r="7" ht="15.75" customHeight="1">
      <c r="A7" s="11" t="s">
        <v>43</v>
      </c>
      <c r="B7" s="12" t="s">
        <v>44</v>
      </c>
      <c r="C7" s="11" t="s">
        <v>30</v>
      </c>
      <c r="D7" s="11" t="s">
        <v>45</v>
      </c>
      <c r="E7" s="11" t="s">
        <v>46</v>
      </c>
      <c r="F7" s="11">
        <v>76.0</v>
      </c>
      <c r="G7" s="11" t="s">
        <v>47</v>
      </c>
      <c r="H7" s="11" t="s">
        <v>48</v>
      </c>
      <c r="I7" s="11">
        <f>+5</f>
        <v>5</v>
      </c>
      <c r="J7" s="11">
        <f>+2</f>
        <v>2</v>
      </c>
      <c r="K7" s="11">
        <f t="shared" ref="K7:L7" si="2">+4</f>
        <v>4</v>
      </c>
      <c r="L7" s="11">
        <f t="shared" si="2"/>
        <v>4</v>
      </c>
      <c r="M7" s="11">
        <f t="shared" ref="M7:N7" si="3">+5</f>
        <v>5</v>
      </c>
      <c r="N7" s="11">
        <f t="shared" si="3"/>
        <v>5</v>
      </c>
      <c r="O7" s="11" t="s">
        <v>41</v>
      </c>
      <c r="P7" s="13">
        <v>16.0</v>
      </c>
      <c r="Q7" s="11" t="s">
        <v>49</v>
      </c>
      <c r="R7" s="11" t="s">
        <v>50</v>
      </c>
      <c r="S7" s="11"/>
      <c r="T7" s="11"/>
      <c r="U7" s="11"/>
      <c r="V7" s="11"/>
      <c r="W7" s="11"/>
      <c r="X7" s="11"/>
      <c r="Y7" s="11"/>
      <c r="Z7" s="11"/>
      <c r="AA7" s="11"/>
      <c r="AB7" s="11"/>
    </row>
    <row r="8" ht="15.75" customHeight="1">
      <c r="A8" s="11" t="s">
        <v>51</v>
      </c>
      <c r="B8" s="12">
        <v>16.0</v>
      </c>
      <c r="C8" s="11" t="s">
        <v>30</v>
      </c>
      <c r="D8" s="11" t="s">
        <v>52</v>
      </c>
      <c r="E8" s="11" t="s">
        <v>53</v>
      </c>
      <c r="F8" s="11">
        <v>42.0</v>
      </c>
      <c r="G8" s="11" t="s">
        <v>54</v>
      </c>
      <c r="H8" s="11" t="s">
        <v>55</v>
      </c>
      <c r="I8" s="11">
        <f t="shared" ref="I8:I9" si="5">+4</f>
        <v>4</v>
      </c>
      <c r="J8" s="11">
        <f>+1</f>
        <v>1</v>
      </c>
      <c r="K8" s="11">
        <f>+2</f>
        <v>2</v>
      </c>
      <c r="L8" s="11">
        <f>+3</f>
        <v>3</v>
      </c>
      <c r="M8" s="11">
        <f t="shared" ref="M8:N8" si="4">+4</f>
        <v>4</v>
      </c>
      <c r="N8" s="11">
        <f t="shared" si="4"/>
        <v>4</v>
      </c>
      <c r="O8" s="11" t="s">
        <v>41</v>
      </c>
      <c r="P8" s="13">
        <v>9.0</v>
      </c>
      <c r="Q8" s="11" t="s">
        <v>56</v>
      </c>
      <c r="R8" s="11"/>
      <c r="S8" s="11"/>
      <c r="T8" s="11"/>
      <c r="U8" s="11"/>
      <c r="V8" s="11"/>
      <c r="W8" s="11"/>
      <c r="X8" s="11"/>
      <c r="Y8" s="11"/>
      <c r="Z8" s="11"/>
      <c r="AA8" s="11"/>
      <c r="AB8" s="11"/>
    </row>
    <row r="9" ht="15.75" customHeight="1">
      <c r="A9" s="11" t="s">
        <v>57</v>
      </c>
      <c r="B9" s="12">
        <v>21.0</v>
      </c>
      <c r="C9" s="11" t="s">
        <v>30</v>
      </c>
      <c r="D9" s="11" t="s">
        <v>58</v>
      </c>
      <c r="E9" s="11" t="s">
        <v>59</v>
      </c>
      <c r="F9" s="11">
        <v>53.0</v>
      </c>
      <c r="G9" s="11" t="s">
        <v>60</v>
      </c>
      <c r="H9" s="11" t="s">
        <v>48</v>
      </c>
      <c r="I9" s="11">
        <f t="shared" si="5"/>
        <v>4</v>
      </c>
      <c r="J9" s="11">
        <f>+2</f>
        <v>2</v>
      </c>
      <c r="K9" s="11">
        <f t="shared" ref="K9:N9" si="6">+4</f>
        <v>4</v>
      </c>
      <c r="L9" s="11">
        <f t="shared" si="6"/>
        <v>4</v>
      </c>
      <c r="M9" s="11">
        <f t="shared" si="6"/>
        <v>4</v>
      </c>
      <c r="N9" s="11">
        <f t="shared" si="6"/>
        <v>4</v>
      </c>
      <c r="O9" s="11" t="s">
        <v>41</v>
      </c>
      <c r="P9" s="13">
        <v>11.0</v>
      </c>
      <c r="Q9" s="11" t="s">
        <v>61</v>
      </c>
      <c r="R9" s="11" t="s">
        <v>62</v>
      </c>
      <c r="S9" s="11"/>
      <c r="T9" s="11"/>
      <c r="U9" s="11"/>
      <c r="V9" s="11"/>
      <c r="W9" s="11"/>
      <c r="X9" s="11"/>
      <c r="Y9" s="11"/>
      <c r="Z9" s="11"/>
      <c r="AA9" s="11"/>
      <c r="AB9" s="11"/>
    </row>
    <row r="10" ht="15.75" customHeight="1">
      <c r="A10" s="11" t="s">
        <v>63</v>
      </c>
      <c r="B10" s="12">
        <v>10.0</v>
      </c>
      <c r="C10" s="11" t="s">
        <v>30</v>
      </c>
      <c r="D10" s="11" t="s">
        <v>64</v>
      </c>
      <c r="E10" s="11" t="s">
        <v>65</v>
      </c>
      <c r="F10" s="11">
        <v>14.0</v>
      </c>
      <c r="G10" s="11" t="s">
        <v>66</v>
      </c>
      <c r="H10" s="11" t="s">
        <v>55</v>
      </c>
      <c r="I10" s="11">
        <f t="shared" ref="I10:I11" si="9">+3</f>
        <v>3</v>
      </c>
      <c r="J10" s="11">
        <f t="shared" ref="J10:K10" si="7">+1</f>
        <v>1</v>
      </c>
      <c r="K10" s="11">
        <f t="shared" si="7"/>
        <v>1</v>
      </c>
      <c r="L10" s="11">
        <f>+2</f>
        <v>2</v>
      </c>
      <c r="M10" s="11">
        <f t="shared" ref="M10:N10" si="8">+3</f>
        <v>3</v>
      </c>
      <c r="N10" s="11">
        <f t="shared" si="8"/>
        <v>3</v>
      </c>
      <c r="O10" s="11" t="s">
        <v>41</v>
      </c>
      <c r="P10" s="13">
        <v>3.0</v>
      </c>
      <c r="Q10" s="11" t="s">
        <v>67</v>
      </c>
      <c r="R10" s="11"/>
      <c r="S10" s="11"/>
      <c r="T10" s="11"/>
      <c r="U10" s="11"/>
      <c r="V10" s="11"/>
      <c r="W10" s="11"/>
      <c r="X10" s="11"/>
      <c r="Y10" s="11"/>
      <c r="Z10" s="11"/>
      <c r="AA10" s="11"/>
      <c r="AB10" s="11"/>
    </row>
    <row r="11" ht="15.75" customHeight="1">
      <c r="A11" s="11" t="s">
        <v>68</v>
      </c>
      <c r="B11" s="12">
        <v>1.0</v>
      </c>
      <c r="C11" s="11" t="s">
        <v>30</v>
      </c>
      <c r="D11" s="11" t="s">
        <v>69</v>
      </c>
      <c r="E11" s="11">
        <v>15.0</v>
      </c>
      <c r="F11" s="11">
        <v>11.0</v>
      </c>
      <c r="G11" s="11" t="s">
        <v>70</v>
      </c>
      <c r="H11" s="11" t="s">
        <v>40</v>
      </c>
      <c r="I11" s="11">
        <f t="shared" si="9"/>
        <v>3</v>
      </c>
      <c r="J11" s="11">
        <v>-1.0</v>
      </c>
      <c r="K11" s="11">
        <f>+2</f>
        <v>2</v>
      </c>
      <c r="L11" s="11">
        <v>-1.0</v>
      </c>
      <c r="M11" s="11">
        <f t="shared" ref="M11:M14" si="11">+1</f>
        <v>1</v>
      </c>
      <c r="N11" s="11">
        <f>+0</f>
        <v>0</v>
      </c>
      <c r="O11" s="11" t="s">
        <v>13</v>
      </c>
      <c r="P11" s="13">
        <v>2.0</v>
      </c>
      <c r="Q11" s="11" t="s">
        <v>71</v>
      </c>
      <c r="R11" s="11"/>
      <c r="S11" s="11"/>
      <c r="T11" s="11"/>
      <c r="U11" s="11"/>
      <c r="V11" s="11"/>
      <c r="W11" s="11"/>
      <c r="X11" s="11"/>
      <c r="Y11" s="11"/>
      <c r="Z11" s="11"/>
      <c r="AA11" s="11"/>
      <c r="AB11" s="11"/>
    </row>
    <row r="12" ht="15.75" customHeight="1">
      <c r="A12" s="11" t="s">
        <v>72</v>
      </c>
      <c r="B12" s="12">
        <v>2.0</v>
      </c>
      <c r="C12" s="11" t="s">
        <v>30</v>
      </c>
      <c r="D12" s="11" t="s">
        <v>73</v>
      </c>
      <c r="E12" s="11">
        <v>14.0</v>
      </c>
      <c r="F12" s="11">
        <v>14.0</v>
      </c>
      <c r="G12" s="11" t="s">
        <v>74</v>
      </c>
      <c r="H12" s="11" t="s">
        <v>75</v>
      </c>
      <c r="I12" s="11">
        <f t="shared" ref="I12:J12" si="10">+2</f>
        <v>2</v>
      </c>
      <c r="J12" s="11">
        <f t="shared" si="10"/>
        <v>2</v>
      </c>
      <c r="K12" s="11">
        <f t="shared" ref="K12:K13" si="13">+1</f>
        <v>1</v>
      </c>
      <c r="L12" s="11">
        <v>-2.0</v>
      </c>
      <c r="M12" s="11">
        <f t="shared" si="11"/>
        <v>1</v>
      </c>
      <c r="N12" s="11">
        <v>-2.0</v>
      </c>
      <c r="O12" s="11" t="s">
        <v>76</v>
      </c>
      <c r="P12" s="13">
        <v>3.0</v>
      </c>
      <c r="Q12" s="11"/>
      <c r="R12" s="11"/>
      <c r="S12" s="11"/>
      <c r="T12" s="11"/>
      <c r="U12" s="11"/>
      <c r="V12" s="11"/>
      <c r="W12" s="11"/>
      <c r="X12" s="11"/>
      <c r="Y12" s="11"/>
      <c r="Z12" s="11"/>
      <c r="AA12" s="11"/>
      <c r="AB12" s="11"/>
    </row>
    <row r="13" ht="15.75" customHeight="1">
      <c r="A13" s="11" t="s">
        <v>77</v>
      </c>
      <c r="B13" s="12">
        <v>0.5</v>
      </c>
      <c r="C13" s="11" t="s">
        <v>30</v>
      </c>
      <c r="D13" s="11" t="s">
        <v>78</v>
      </c>
      <c r="E13" s="11">
        <v>12.0</v>
      </c>
      <c r="F13" s="11">
        <v>10.0</v>
      </c>
      <c r="G13" s="11" t="s">
        <v>79</v>
      </c>
      <c r="H13" s="11" t="s">
        <v>80</v>
      </c>
      <c r="I13" s="11">
        <f t="shared" ref="I13:J13" si="12">+2</f>
        <v>2</v>
      </c>
      <c r="J13" s="11">
        <f t="shared" si="12"/>
        <v>2</v>
      </c>
      <c r="K13" s="11">
        <f t="shared" si="13"/>
        <v>1</v>
      </c>
      <c r="L13" s="11">
        <v>-2.0</v>
      </c>
      <c r="M13" s="11">
        <f t="shared" si="11"/>
        <v>1</v>
      </c>
      <c r="N13" s="11">
        <f t="shared" ref="N13:N14" si="15">+0</f>
        <v>0</v>
      </c>
      <c r="O13" s="11" t="s">
        <v>76</v>
      </c>
      <c r="P13" s="13">
        <v>2.0</v>
      </c>
      <c r="Q13" s="11"/>
      <c r="R13" s="11"/>
      <c r="S13" s="11"/>
      <c r="T13" s="11"/>
      <c r="U13" s="11"/>
      <c r="V13" s="11"/>
      <c r="W13" s="11"/>
      <c r="X13" s="11"/>
      <c r="Y13" s="11"/>
      <c r="Z13" s="11"/>
      <c r="AA13" s="11"/>
      <c r="AB13" s="11"/>
    </row>
    <row r="14" ht="15.75" customHeight="1">
      <c r="A14" s="11" t="s">
        <v>81</v>
      </c>
      <c r="B14" s="12" t="s">
        <v>44</v>
      </c>
      <c r="C14" s="11" t="s">
        <v>30</v>
      </c>
      <c r="D14" s="11" t="s">
        <v>82</v>
      </c>
      <c r="E14" s="11">
        <v>13.0</v>
      </c>
      <c r="F14" s="11">
        <v>19.0</v>
      </c>
      <c r="G14" s="11" t="s">
        <v>83</v>
      </c>
      <c r="H14" s="11" t="s">
        <v>80</v>
      </c>
      <c r="I14" s="11">
        <f>+3</f>
        <v>3</v>
      </c>
      <c r="J14" s="11">
        <f t="shared" ref="J14:K14" si="14">+1</f>
        <v>1</v>
      </c>
      <c r="K14" s="11">
        <f t="shared" si="14"/>
        <v>1</v>
      </c>
      <c r="L14" s="11">
        <v>-2.0</v>
      </c>
      <c r="M14" s="11">
        <f t="shared" si="11"/>
        <v>1</v>
      </c>
      <c r="N14" s="11">
        <f t="shared" si="15"/>
        <v>0</v>
      </c>
      <c r="O14" s="11" t="s">
        <v>76</v>
      </c>
      <c r="P14" s="13">
        <v>4.0</v>
      </c>
      <c r="Q14" s="11" t="s">
        <v>84</v>
      </c>
      <c r="R14" s="11"/>
      <c r="S14" s="11"/>
      <c r="T14" s="11"/>
      <c r="U14" s="11"/>
      <c r="V14" s="11"/>
      <c r="W14" s="11"/>
      <c r="X14" s="11"/>
      <c r="Y14" s="11"/>
      <c r="Z14" s="11"/>
      <c r="AA14" s="11"/>
      <c r="AB14" s="11"/>
    </row>
    <row r="15" ht="15.75" customHeight="1">
      <c r="A15" s="11" t="s">
        <v>85</v>
      </c>
      <c r="B15" s="12" t="s">
        <v>44</v>
      </c>
      <c r="C15" s="11" t="s">
        <v>30</v>
      </c>
      <c r="D15" s="11" t="s">
        <v>86</v>
      </c>
      <c r="E15" s="11">
        <v>11.0</v>
      </c>
      <c r="F15" s="11">
        <v>3.0</v>
      </c>
      <c r="G15" s="11" t="s">
        <v>87</v>
      </c>
      <c r="H15" s="11" t="s">
        <v>40</v>
      </c>
      <c r="I15" s="11">
        <v>-1.0</v>
      </c>
      <c r="J15" s="11">
        <f>+1</f>
        <v>1</v>
      </c>
      <c r="K15" s="11">
        <v>-1.0</v>
      </c>
      <c r="L15" s="11">
        <f>+2</f>
        <v>2</v>
      </c>
      <c r="M15" s="11">
        <f t="shared" ref="M15:N15" si="16">+0</f>
        <v>0</v>
      </c>
      <c r="N15" s="11">
        <f t="shared" si="16"/>
        <v>0</v>
      </c>
      <c r="O15" s="11" t="s">
        <v>76</v>
      </c>
      <c r="P15" s="13">
        <v>1.0</v>
      </c>
      <c r="Q15" s="11" t="s">
        <v>88</v>
      </c>
      <c r="R15" s="11" t="s">
        <v>89</v>
      </c>
      <c r="S15" s="11"/>
      <c r="T15" s="11"/>
      <c r="U15" s="11"/>
      <c r="V15" s="11"/>
      <c r="W15" s="11"/>
      <c r="X15" s="11"/>
      <c r="Y15" s="11"/>
      <c r="Z15" s="11"/>
      <c r="AA15" s="11"/>
      <c r="AB15" s="11"/>
    </row>
    <row r="16" ht="15.75" customHeight="1">
      <c r="A16" s="11" t="s">
        <v>90</v>
      </c>
      <c r="B16" s="12">
        <v>12.0</v>
      </c>
      <c r="C16" s="11" t="s">
        <v>30</v>
      </c>
      <c r="D16" s="11" t="s">
        <v>91</v>
      </c>
      <c r="E16" s="11">
        <v>12.0</v>
      </c>
      <c r="F16" s="11">
        <v>44.0</v>
      </c>
      <c r="G16" s="11" t="s">
        <v>92</v>
      </c>
      <c r="H16" s="11" t="s">
        <v>40</v>
      </c>
      <c r="I16" s="11">
        <v>-1.0</v>
      </c>
      <c r="J16" s="11">
        <f>+2</f>
        <v>2</v>
      </c>
      <c r="K16" s="11">
        <v>-1.0</v>
      </c>
      <c r="L16" s="11">
        <f>+4</f>
        <v>4</v>
      </c>
      <c r="M16" s="11">
        <f>+2</f>
        <v>2</v>
      </c>
      <c r="N16" s="11">
        <f>+1</f>
        <v>1</v>
      </c>
      <c r="O16" s="11" t="s">
        <v>41</v>
      </c>
      <c r="P16" s="13">
        <v>10.0</v>
      </c>
      <c r="Q16" s="14" t="s">
        <v>93</v>
      </c>
      <c r="R16" s="14" t="s">
        <v>94</v>
      </c>
      <c r="S16" s="14" t="s">
        <v>95</v>
      </c>
      <c r="T16" s="14" t="s">
        <v>96</v>
      </c>
      <c r="U16" s="14" t="s">
        <v>97</v>
      </c>
      <c r="V16" s="14" t="s">
        <v>98</v>
      </c>
      <c r="W16" s="11"/>
      <c r="X16" s="11"/>
      <c r="Y16" s="11"/>
      <c r="Z16" s="11"/>
      <c r="AA16" s="11"/>
      <c r="AB16" s="11"/>
    </row>
    <row r="17" ht="15.75" customHeight="1">
      <c r="A17" s="11" t="s">
        <v>99</v>
      </c>
      <c r="B17" s="12">
        <v>8.0</v>
      </c>
      <c r="C17" s="11" t="s">
        <v>30</v>
      </c>
      <c r="D17" s="11" t="s">
        <v>100</v>
      </c>
      <c r="E17" s="11">
        <v>15.0</v>
      </c>
      <c r="F17" s="11">
        <v>38.0</v>
      </c>
      <c r="G17" s="11" t="s">
        <v>101</v>
      </c>
      <c r="H17" s="11" t="s">
        <v>80</v>
      </c>
      <c r="I17" s="11">
        <f>+2</f>
        <v>2</v>
      </c>
      <c r="J17" s="11">
        <f>+4</f>
        <v>4</v>
      </c>
      <c r="K17" s="11">
        <f t="shared" ref="K17:L17" si="17">+2</f>
        <v>2</v>
      </c>
      <c r="L17" s="11">
        <f t="shared" si="17"/>
        <v>2</v>
      </c>
      <c r="M17" s="11">
        <f t="shared" ref="M17:N17" si="18">+3</f>
        <v>3</v>
      </c>
      <c r="N17" s="11">
        <f t="shared" si="18"/>
        <v>3</v>
      </c>
      <c r="O17" s="11" t="s">
        <v>13</v>
      </c>
      <c r="P17" s="13">
        <v>8.0</v>
      </c>
      <c r="Q17" s="11" t="s">
        <v>102</v>
      </c>
      <c r="R17" s="11"/>
      <c r="S17" s="11"/>
      <c r="T17" s="11"/>
      <c r="U17" s="11"/>
      <c r="V17" s="11"/>
      <c r="W17" s="11"/>
      <c r="X17" s="11"/>
      <c r="Y17" s="11"/>
      <c r="Z17" s="11"/>
      <c r="AA17" s="11"/>
      <c r="AB17" s="11"/>
    </row>
    <row r="18" ht="15.75" customHeight="1">
      <c r="A18" s="11" t="s">
        <v>103</v>
      </c>
      <c r="B18" s="12">
        <v>2.0</v>
      </c>
      <c r="C18" s="11" t="s">
        <v>30</v>
      </c>
      <c r="D18" s="11" t="s">
        <v>104</v>
      </c>
      <c r="E18" s="11">
        <v>15.0</v>
      </c>
      <c r="F18" s="11">
        <v>15.0</v>
      </c>
      <c r="G18" s="11" t="s">
        <v>105</v>
      </c>
      <c r="H18" s="11" t="s">
        <v>40</v>
      </c>
      <c r="I18" s="11">
        <f>+3</f>
        <v>3</v>
      </c>
      <c r="J18" s="11">
        <f t="shared" ref="J18:J20" si="20">+0</f>
        <v>0</v>
      </c>
      <c r="K18" s="11">
        <f>+2</f>
        <v>2</v>
      </c>
      <c r="L18" s="11">
        <f t="shared" ref="L18:N18" si="19">+0</f>
        <v>0</v>
      </c>
      <c r="M18" s="11">
        <f t="shared" si="19"/>
        <v>0</v>
      </c>
      <c r="N18" s="11">
        <f t="shared" si="19"/>
        <v>0</v>
      </c>
      <c r="O18" s="11" t="s">
        <v>41</v>
      </c>
      <c r="P18" s="13">
        <v>3.0</v>
      </c>
      <c r="Q18" s="11" t="s">
        <v>106</v>
      </c>
      <c r="R18" s="11"/>
      <c r="S18" s="11"/>
      <c r="T18" s="11"/>
      <c r="U18" s="11"/>
      <c r="V18" s="11"/>
      <c r="W18" s="11"/>
      <c r="X18" s="11"/>
      <c r="Y18" s="11"/>
      <c r="Z18" s="11"/>
      <c r="AA18" s="11"/>
      <c r="AB18" s="11"/>
    </row>
    <row r="19" ht="15.75" customHeight="1">
      <c r="A19" s="11" t="s">
        <v>107</v>
      </c>
      <c r="B19" s="12">
        <v>0.0</v>
      </c>
      <c r="C19" s="11" t="s">
        <v>30</v>
      </c>
      <c r="D19" s="11" t="s">
        <v>108</v>
      </c>
      <c r="E19" s="11">
        <v>11.0</v>
      </c>
      <c r="F19" s="11">
        <v>5.0</v>
      </c>
      <c r="G19" s="11" t="s">
        <v>109</v>
      </c>
      <c r="H19" s="11" t="s">
        <v>75</v>
      </c>
      <c r="I19" s="11">
        <f>+2</f>
        <v>2</v>
      </c>
      <c r="J19" s="11">
        <f t="shared" si="20"/>
        <v>0</v>
      </c>
      <c r="K19" s="11">
        <f>+1</f>
        <v>1</v>
      </c>
      <c r="L19" s="11">
        <v>-3.0</v>
      </c>
      <c r="M19" s="11">
        <f>+1</f>
        <v>1</v>
      </c>
      <c r="N19" s="11">
        <v>-2.0</v>
      </c>
      <c r="O19" s="11" t="s">
        <v>76</v>
      </c>
      <c r="P19" s="13">
        <v>1.0</v>
      </c>
      <c r="Q19" s="11" t="s">
        <v>110</v>
      </c>
      <c r="R19" s="11"/>
      <c r="S19" s="11"/>
      <c r="T19" s="11"/>
      <c r="U19" s="11"/>
      <c r="V19" s="11"/>
      <c r="W19" s="11"/>
      <c r="X19" s="11"/>
      <c r="Y19" s="11"/>
      <c r="Z19" s="11"/>
      <c r="AA19" s="11"/>
      <c r="AB19" s="11"/>
    </row>
    <row r="20" ht="15.75" customHeight="1">
      <c r="A20" s="11" t="s">
        <v>111</v>
      </c>
      <c r="B20" s="12">
        <v>0.125</v>
      </c>
      <c r="C20" s="11" t="s">
        <v>30</v>
      </c>
      <c r="D20" s="11" t="s">
        <v>112</v>
      </c>
      <c r="E20" s="11">
        <v>13.0</v>
      </c>
      <c r="F20" s="11">
        <v>4.0</v>
      </c>
      <c r="G20" s="11" t="s">
        <v>113</v>
      </c>
      <c r="H20" s="11" t="s">
        <v>40</v>
      </c>
      <c r="I20" s="11">
        <f>+1</f>
        <v>1</v>
      </c>
      <c r="J20" s="11">
        <f t="shared" si="20"/>
        <v>0</v>
      </c>
      <c r="K20" s="11">
        <f>+0</f>
        <v>0</v>
      </c>
      <c r="L20" s="11">
        <v>-1.0</v>
      </c>
      <c r="M20" s="11">
        <f>+0</f>
        <v>0</v>
      </c>
      <c r="N20" s="11">
        <v>-1.0</v>
      </c>
      <c r="O20" s="11" t="s">
        <v>13</v>
      </c>
      <c r="P20" s="13">
        <v>1.0</v>
      </c>
      <c r="Q20" s="11" t="s">
        <v>114</v>
      </c>
      <c r="R20" s="11"/>
      <c r="S20" s="11"/>
      <c r="T20" s="11"/>
      <c r="U20" s="11"/>
      <c r="V20" s="11"/>
      <c r="W20" s="11"/>
      <c r="X20" s="11"/>
      <c r="Y20" s="11"/>
      <c r="Z20" s="11"/>
      <c r="AA20" s="11"/>
      <c r="AB20" s="11"/>
    </row>
    <row r="21" ht="15.75" customHeight="1">
      <c r="A21" s="11" t="s">
        <v>115</v>
      </c>
      <c r="B21" s="12">
        <v>3.0</v>
      </c>
      <c r="C21" s="11" t="s">
        <v>30</v>
      </c>
      <c r="D21" s="11" t="s">
        <v>116</v>
      </c>
      <c r="E21" s="11">
        <v>14.0</v>
      </c>
      <c r="F21" s="11">
        <v>25.0</v>
      </c>
      <c r="G21" s="11" t="s">
        <v>117</v>
      </c>
      <c r="H21" s="11" t="s">
        <v>40</v>
      </c>
      <c r="I21" s="11">
        <f>+3</f>
        <v>3</v>
      </c>
      <c r="J21" s="11">
        <f>+1</f>
        <v>1</v>
      </c>
      <c r="K21" s="11">
        <f>+3</f>
        <v>3</v>
      </c>
      <c r="L21" s="11">
        <v>-3.0</v>
      </c>
      <c r="M21" s="11">
        <f t="shared" ref="M21:M27" si="21">+1</f>
        <v>1</v>
      </c>
      <c r="N21" s="11">
        <v>-3.0</v>
      </c>
      <c r="O21" s="11" t="s">
        <v>76</v>
      </c>
      <c r="P21" s="13">
        <v>5.0</v>
      </c>
      <c r="Q21" s="11" t="s">
        <v>118</v>
      </c>
      <c r="R21" s="11"/>
      <c r="S21" s="11"/>
      <c r="T21" s="11"/>
      <c r="U21" s="11"/>
      <c r="V21" s="11"/>
      <c r="W21" s="11"/>
      <c r="X21" s="11"/>
      <c r="Y21" s="11"/>
      <c r="Z21" s="11"/>
      <c r="AA21" s="11"/>
      <c r="AB21" s="11"/>
    </row>
    <row r="22" ht="15.75" customHeight="1">
      <c r="A22" s="11" t="s">
        <v>119</v>
      </c>
      <c r="B22" s="12">
        <v>0.25</v>
      </c>
      <c r="C22" s="11" t="s">
        <v>30</v>
      </c>
      <c r="D22" s="11" t="s">
        <v>120</v>
      </c>
      <c r="E22" s="11">
        <v>12.0</v>
      </c>
      <c r="F22" s="11">
        <v>9.0</v>
      </c>
      <c r="G22" s="11" t="s">
        <v>121</v>
      </c>
      <c r="H22" s="11" t="s">
        <v>55</v>
      </c>
      <c r="I22" s="11">
        <v>-1.0</v>
      </c>
      <c r="J22" s="11">
        <f t="shared" ref="J22:J23" si="22">+2</f>
        <v>2</v>
      </c>
      <c r="K22" s="11">
        <f t="shared" ref="K22:K23" si="23">+0</f>
        <v>0</v>
      </c>
      <c r="L22" s="11">
        <v>-3.0</v>
      </c>
      <c r="M22" s="11">
        <f t="shared" si="21"/>
        <v>1</v>
      </c>
      <c r="N22" s="11">
        <v>-3.0</v>
      </c>
      <c r="O22" s="11" t="s">
        <v>76</v>
      </c>
      <c r="P22" s="13">
        <v>2.0</v>
      </c>
      <c r="Q22" s="11"/>
      <c r="R22" s="11"/>
      <c r="S22" s="11"/>
      <c r="T22" s="11"/>
      <c r="U22" s="11"/>
      <c r="V22" s="11"/>
      <c r="W22" s="11"/>
      <c r="X22" s="11"/>
      <c r="Y22" s="11"/>
      <c r="Z22" s="11"/>
      <c r="AA22" s="11"/>
      <c r="AB22" s="11"/>
    </row>
    <row r="23" ht="15.75" customHeight="1">
      <c r="A23" s="11" t="s">
        <v>122</v>
      </c>
      <c r="B23" s="12" t="s">
        <v>44</v>
      </c>
      <c r="C23" s="11" t="s">
        <v>30</v>
      </c>
      <c r="D23" s="11" t="s">
        <v>123</v>
      </c>
      <c r="E23" s="11">
        <v>12.0</v>
      </c>
      <c r="F23" s="11">
        <v>18.0</v>
      </c>
      <c r="G23" s="11" t="s">
        <v>124</v>
      </c>
      <c r="H23" s="11" t="s">
        <v>55</v>
      </c>
      <c r="I23" s="11">
        <v>-3.0</v>
      </c>
      <c r="J23" s="11">
        <f t="shared" si="22"/>
        <v>2</v>
      </c>
      <c r="K23" s="11">
        <f t="shared" si="23"/>
        <v>0</v>
      </c>
      <c r="L23" s="11">
        <v>-3.0</v>
      </c>
      <c r="M23" s="11">
        <f t="shared" si="21"/>
        <v>1</v>
      </c>
      <c r="N23" s="11">
        <v>-3.0</v>
      </c>
      <c r="O23" s="11" t="s">
        <v>76</v>
      </c>
      <c r="P23" s="13">
        <v>4.0</v>
      </c>
      <c r="Q23" s="11"/>
      <c r="R23" s="11"/>
      <c r="S23" s="11"/>
      <c r="T23" s="11"/>
      <c r="U23" s="11"/>
      <c r="V23" s="11"/>
      <c r="W23" s="11"/>
      <c r="X23" s="11"/>
      <c r="Y23" s="11"/>
      <c r="Z23" s="11"/>
      <c r="AA23" s="11"/>
      <c r="AB23" s="11"/>
    </row>
    <row r="24" ht="15.75" customHeight="1">
      <c r="A24" s="11" t="s">
        <v>125</v>
      </c>
      <c r="B24" s="12">
        <v>1.0</v>
      </c>
      <c r="C24" s="11" t="s">
        <v>30</v>
      </c>
      <c r="D24" s="11" t="s">
        <v>126</v>
      </c>
      <c r="E24" s="11">
        <v>13.0</v>
      </c>
      <c r="F24" s="11">
        <v>25.0</v>
      </c>
      <c r="G24" s="11" t="s">
        <v>127</v>
      </c>
      <c r="H24" s="11" t="s">
        <v>80</v>
      </c>
      <c r="I24" s="11">
        <f t="shared" ref="I24:I25" si="24">+4</f>
        <v>4</v>
      </c>
      <c r="J24" s="11">
        <f t="shared" ref="J24:J27" si="25">+1</f>
        <v>1</v>
      </c>
      <c r="K24" s="11">
        <f t="shared" ref="K24:K25" si="26">+3</f>
        <v>3</v>
      </c>
      <c r="L24" s="11">
        <v>-2.0</v>
      </c>
      <c r="M24" s="11">
        <f t="shared" si="21"/>
        <v>1</v>
      </c>
      <c r="N24" s="11">
        <v>-2.0</v>
      </c>
      <c r="O24" s="11" t="s">
        <v>76</v>
      </c>
      <c r="P24" s="13">
        <v>5.0</v>
      </c>
      <c r="Q24" s="11" t="s">
        <v>128</v>
      </c>
      <c r="R24" s="11"/>
      <c r="S24" s="11"/>
      <c r="T24" s="11"/>
      <c r="U24" s="11"/>
      <c r="V24" s="11"/>
      <c r="W24" s="11"/>
      <c r="X24" s="11"/>
      <c r="Y24" s="11"/>
      <c r="Z24" s="11"/>
      <c r="AA24" s="11"/>
      <c r="AB24" s="11"/>
    </row>
    <row r="25" ht="15.75" customHeight="1">
      <c r="A25" s="11" t="s">
        <v>129</v>
      </c>
      <c r="B25" s="12">
        <v>2.0</v>
      </c>
      <c r="C25" s="11" t="s">
        <v>30</v>
      </c>
      <c r="D25" s="11" t="s">
        <v>130</v>
      </c>
      <c r="E25" s="11">
        <v>13.0</v>
      </c>
      <c r="F25" s="11">
        <v>34.0</v>
      </c>
      <c r="G25" s="11" t="s">
        <v>131</v>
      </c>
      <c r="H25" s="11" t="s">
        <v>80</v>
      </c>
      <c r="I25" s="11">
        <f t="shared" si="24"/>
        <v>4</v>
      </c>
      <c r="J25" s="11">
        <f t="shared" si="25"/>
        <v>1</v>
      </c>
      <c r="K25" s="11">
        <f t="shared" si="26"/>
        <v>3</v>
      </c>
      <c r="L25" s="11">
        <v>-2.0</v>
      </c>
      <c r="M25" s="11">
        <f t="shared" si="21"/>
        <v>1</v>
      </c>
      <c r="N25" s="11">
        <v>-2.0</v>
      </c>
      <c r="O25" s="11" t="s">
        <v>76</v>
      </c>
      <c r="P25" s="13">
        <v>7.0</v>
      </c>
      <c r="Q25" s="11" t="s">
        <v>128</v>
      </c>
      <c r="R25" s="11" t="s">
        <v>84</v>
      </c>
      <c r="S25" s="11"/>
      <c r="T25" s="11"/>
      <c r="U25" s="11"/>
      <c r="V25" s="11"/>
      <c r="W25" s="11"/>
      <c r="X25" s="11"/>
      <c r="Y25" s="11"/>
      <c r="Z25" s="11"/>
      <c r="AA25" s="11"/>
      <c r="AB25" s="11"/>
    </row>
    <row r="26" ht="15.75" customHeight="1">
      <c r="A26" s="11" t="s">
        <v>132</v>
      </c>
      <c r="B26" s="12" t="s">
        <v>44</v>
      </c>
      <c r="C26" s="11" t="s">
        <v>30</v>
      </c>
      <c r="D26" s="11" t="s">
        <v>133</v>
      </c>
      <c r="E26" s="11" t="s">
        <v>134</v>
      </c>
      <c r="F26" s="11">
        <v>5.0</v>
      </c>
      <c r="G26" s="11" t="s">
        <v>135</v>
      </c>
      <c r="H26" s="11" t="s">
        <v>40</v>
      </c>
      <c r="I26" s="11">
        <f t="shared" ref="I26:I28" si="27">+2</f>
        <v>2</v>
      </c>
      <c r="J26" s="11">
        <f t="shared" si="25"/>
        <v>1</v>
      </c>
      <c r="K26" s="11">
        <f t="shared" ref="K26:K27" si="28">+1</f>
        <v>1</v>
      </c>
      <c r="L26" s="11">
        <v>-2.0</v>
      </c>
      <c r="M26" s="11">
        <f t="shared" si="21"/>
        <v>1</v>
      </c>
      <c r="N26" s="11">
        <v>-1.0</v>
      </c>
      <c r="O26" s="11" t="s">
        <v>13</v>
      </c>
      <c r="P26" s="13">
        <v>1.0</v>
      </c>
      <c r="Q26" s="11" t="s">
        <v>136</v>
      </c>
      <c r="R26" s="11"/>
      <c r="S26" s="11"/>
      <c r="T26" s="11"/>
      <c r="U26" s="11"/>
      <c r="V26" s="11"/>
      <c r="W26" s="11"/>
      <c r="X26" s="11"/>
      <c r="Y26" s="11"/>
      <c r="Z26" s="11"/>
      <c r="AA26" s="11"/>
      <c r="AB26" s="11"/>
    </row>
    <row r="27" ht="15.75" customHeight="1">
      <c r="A27" s="11" t="s">
        <v>137</v>
      </c>
      <c r="B27" s="12">
        <v>2.0</v>
      </c>
      <c r="C27" s="11" t="s">
        <v>30</v>
      </c>
      <c r="D27" s="11" t="s">
        <v>138</v>
      </c>
      <c r="E27" s="11">
        <v>12.0</v>
      </c>
      <c r="F27" s="11">
        <v>10.0</v>
      </c>
      <c r="G27" s="14" t="s">
        <v>139</v>
      </c>
      <c r="H27" s="11" t="s">
        <v>40</v>
      </c>
      <c r="I27" s="11">
        <f t="shared" si="27"/>
        <v>2</v>
      </c>
      <c r="J27" s="11">
        <f t="shared" si="25"/>
        <v>1</v>
      </c>
      <c r="K27" s="11">
        <f t="shared" si="28"/>
        <v>1</v>
      </c>
      <c r="L27" s="11">
        <f>+0</f>
        <v>0</v>
      </c>
      <c r="M27" s="11">
        <f t="shared" si="21"/>
        <v>1</v>
      </c>
      <c r="N27" s="11">
        <f>+0</f>
        <v>0</v>
      </c>
      <c r="O27" s="11" t="s">
        <v>76</v>
      </c>
      <c r="P27" s="13">
        <v>2.0</v>
      </c>
      <c r="Q27" s="11" t="s">
        <v>110</v>
      </c>
      <c r="R27" s="11"/>
      <c r="S27" s="11"/>
      <c r="T27" s="11"/>
      <c r="U27" s="11"/>
      <c r="V27" s="11"/>
      <c r="W27" s="11"/>
      <c r="X27" s="11"/>
      <c r="Y27" s="11"/>
      <c r="Z27" s="11"/>
      <c r="AA27" s="11"/>
      <c r="AB27" s="11"/>
    </row>
    <row r="28" ht="15.75" customHeight="1">
      <c r="A28" s="11" t="s">
        <v>140</v>
      </c>
      <c r="B28" s="12">
        <v>4.0</v>
      </c>
      <c r="C28" s="11" t="s">
        <v>30</v>
      </c>
      <c r="D28" s="11" t="s">
        <v>141</v>
      </c>
      <c r="E28" s="11">
        <v>9.0</v>
      </c>
      <c r="F28" s="11">
        <v>30.0</v>
      </c>
      <c r="G28" s="11" t="s">
        <v>142</v>
      </c>
      <c r="H28" s="11" t="s">
        <v>80</v>
      </c>
      <c r="I28" s="11">
        <f t="shared" si="27"/>
        <v>2</v>
      </c>
      <c r="J28" s="11">
        <v>-1.0</v>
      </c>
      <c r="K28" s="11">
        <f>+3</f>
        <v>3</v>
      </c>
      <c r="L28" s="11">
        <v>-4.0</v>
      </c>
      <c r="M28" s="11">
        <v>-3.0</v>
      </c>
      <c r="N28" s="11">
        <v>-4.0</v>
      </c>
      <c r="O28" s="11" t="s">
        <v>76</v>
      </c>
      <c r="P28" s="13">
        <v>6.0</v>
      </c>
      <c r="Q28" s="11" t="s">
        <v>143</v>
      </c>
      <c r="R28" s="11" t="s">
        <v>144</v>
      </c>
      <c r="S28" s="11"/>
      <c r="T28" s="11"/>
      <c r="U28" s="11"/>
      <c r="V28" s="11"/>
      <c r="W28" s="11"/>
      <c r="X28" s="11"/>
      <c r="Y28" s="11"/>
      <c r="Z28" s="11"/>
      <c r="AA28" s="11"/>
      <c r="AB28" s="11"/>
    </row>
    <row r="29" ht="15.75" customHeight="1">
      <c r="A29" s="11" t="s">
        <v>145</v>
      </c>
      <c r="B29" s="12">
        <v>0.25</v>
      </c>
      <c r="C29" s="11" t="s">
        <v>30</v>
      </c>
      <c r="D29" s="11" t="s">
        <v>146</v>
      </c>
      <c r="E29" s="11">
        <v>12.0</v>
      </c>
      <c r="F29" s="11">
        <v>14.0</v>
      </c>
      <c r="G29" s="11" t="s">
        <v>147</v>
      </c>
      <c r="H29" s="11" t="s">
        <v>40</v>
      </c>
      <c r="I29" s="11">
        <f>+3</f>
        <v>3</v>
      </c>
      <c r="J29" s="11">
        <f>+0</f>
        <v>0</v>
      </c>
      <c r="K29" s="11">
        <f>+1</f>
        <v>1</v>
      </c>
      <c r="L29" s="11">
        <v>-2.0</v>
      </c>
      <c r="M29" s="11">
        <f>+1</f>
        <v>1</v>
      </c>
      <c r="N29" s="11">
        <v>-2.0</v>
      </c>
      <c r="O29" s="11" t="s">
        <v>76</v>
      </c>
      <c r="P29" s="13">
        <v>3.0</v>
      </c>
      <c r="Q29" s="11" t="s">
        <v>148</v>
      </c>
      <c r="R29" s="11"/>
      <c r="S29" s="11"/>
      <c r="T29" s="11"/>
      <c r="U29" s="11"/>
      <c r="V29" s="11"/>
      <c r="W29" s="11"/>
      <c r="X29" s="11"/>
      <c r="Y29" s="11"/>
      <c r="Z29" s="11"/>
      <c r="AA29" s="11"/>
      <c r="AB29" s="11"/>
    </row>
    <row r="30" ht="15.75" customHeight="1">
      <c r="A30" s="11" t="s">
        <v>149</v>
      </c>
      <c r="B30" s="15">
        <v>7.0</v>
      </c>
      <c r="C30" s="11" t="s">
        <v>30</v>
      </c>
      <c r="D30" s="11" t="s">
        <v>150</v>
      </c>
      <c r="E30" s="11">
        <v>14.0</v>
      </c>
      <c r="F30" s="11">
        <v>36.0</v>
      </c>
      <c r="G30" s="14" t="s">
        <v>151</v>
      </c>
      <c r="H30" s="11" t="s">
        <v>40</v>
      </c>
      <c r="I30" s="11">
        <f>+2</f>
        <v>2</v>
      </c>
      <c r="J30" s="11">
        <f>+3</f>
        <v>3</v>
      </c>
      <c r="K30" s="11">
        <f>+0</f>
        <v>0</v>
      </c>
      <c r="L30" s="11">
        <f>+4</f>
        <v>4</v>
      </c>
      <c r="M30" s="11">
        <f>+2</f>
        <v>2</v>
      </c>
      <c r="N30" s="11">
        <f>+4</f>
        <v>4</v>
      </c>
      <c r="O30" s="11" t="s">
        <v>13</v>
      </c>
      <c r="P30" s="13">
        <v>8.0</v>
      </c>
      <c r="Q30" s="11" t="s">
        <v>152</v>
      </c>
      <c r="R30" s="11" t="s">
        <v>153</v>
      </c>
      <c r="S30" s="11" t="s">
        <v>154</v>
      </c>
      <c r="T30" s="11" t="s">
        <v>155</v>
      </c>
      <c r="U30" s="11"/>
      <c r="V30" s="11"/>
      <c r="W30" s="11"/>
      <c r="X30" s="11"/>
      <c r="Y30" s="11"/>
      <c r="Z30" s="11"/>
      <c r="AA30" s="11"/>
      <c r="AB30" s="11"/>
    </row>
    <row r="31" ht="15.75" customHeight="1">
      <c r="A31" s="11" t="s">
        <v>156</v>
      </c>
      <c r="B31" s="12">
        <v>1.0</v>
      </c>
      <c r="C31" s="11" t="s">
        <v>30</v>
      </c>
      <c r="D31" s="11" t="s">
        <v>157</v>
      </c>
      <c r="E31" s="11">
        <v>13.0</v>
      </c>
      <c r="F31" s="11">
        <v>14.0</v>
      </c>
      <c r="G31" s="11" t="s">
        <v>158</v>
      </c>
      <c r="H31" s="11" t="s">
        <v>40</v>
      </c>
      <c r="I31" s="11">
        <f>+3</f>
        <v>3</v>
      </c>
      <c r="J31" s="11">
        <f>+0</f>
        <v>0</v>
      </c>
      <c r="K31" s="11">
        <f>+1</f>
        <v>1</v>
      </c>
      <c r="L31" s="11">
        <v>-1.0</v>
      </c>
      <c r="M31" s="11">
        <f>+0</f>
        <v>0</v>
      </c>
      <c r="N31" s="11">
        <v>-2.0</v>
      </c>
      <c r="O31" s="11" t="s">
        <v>13</v>
      </c>
      <c r="P31" s="13">
        <v>3.0</v>
      </c>
      <c r="Q31" s="11" t="s">
        <v>159</v>
      </c>
      <c r="R31" s="11"/>
      <c r="S31" s="11"/>
      <c r="T31" s="11"/>
      <c r="U31" s="11"/>
      <c r="V31" s="11"/>
      <c r="W31" s="11"/>
      <c r="X31" s="11"/>
      <c r="Y31" s="11"/>
      <c r="Z31" s="11"/>
      <c r="AA31" s="11"/>
      <c r="AB31" s="11"/>
    </row>
    <row r="32" ht="15.75" customHeight="1">
      <c r="A32" s="11" t="s">
        <v>160</v>
      </c>
      <c r="B32" s="12">
        <v>5.0</v>
      </c>
      <c r="C32" s="11" t="s">
        <v>30</v>
      </c>
      <c r="D32" s="16" t="s">
        <v>161</v>
      </c>
      <c r="E32" s="11">
        <v>17.0</v>
      </c>
      <c r="F32" s="11">
        <v>40.0</v>
      </c>
      <c r="G32" s="11" t="s">
        <v>162</v>
      </c>
      <c r="H32" s="11" t="s">
        <v>75</v>
      </c>
      <c r="I32" s="11">
        <f>+5</f>
        <v>5</v>
      </c>
      <c r="J32" s="11">
        <f>+1</f>
        <v>1</v>
      </c>
      <c r="K32" s="11">
        <f>+4</f>
        <v>4</v>
      </c>
      <c r="L32" s="11">
        <v>-3.0</v>
      </c>
      <c r="M32" s="11">
        <f t="shared" ref="M32:M35" si="29">+1</f>
        <v>1</v>
      </c>
      <c r="N32" s="11">
        <v>-2.0</v>
      </c>
      <c r="O32" s="11" t="s">
        <v>76</v>
      </c>
      <c r="P32" s="13">
        <v>8.0</v>
      </c>
      <c r="Q32" s="11" t="s">
        <v>163</v>
      </c>
      <c r="R32" s="11"/>
      <c r="S32" s="11"/>
      <c r="T32" s="11"/>
      <c r="U32" s="11"/>
      <c r="V32" s="11"/>
      <c r="W32" s="11"/>
      <c r="X32" s="11"/>
      <c r="Y32" s="11"/>
      <c r="Z32" s="11"/>
      <c r="AA32" s="11"/>
      <c r="AB32" s="11"/>
    </row>
    <row r="33" ht="15.75" customHeight="1">
      <c r="A33" s="11" t="s">
        <v>164</v>
      </c>
      <c r="B33" s="12">
        <v>0.125</v>
      </c>
      <c r="C33" s="11" t="s">
        <v>30</v>
      </c>
      <c r="D33" s="17" t="s">
        <v>165</v>
      </c>
      <c r="E33" s="11">
        <v>10.0</v>
      </c>
      <c r="F33" s="11">
        <v>12.0</v>
      </c>
      <c r="G33" s="11" t="s">
        <v>166</v>
      </c>
      <c r="H33" s="11" t="s">
        <v>167</v>
      </c>
      <c r="I33" s="11">
        <f>+3</f>
        <v>3</v>
      </c>
      <c r="J33" s="11">
        <f>+0</f>
        <v>0</v>
      </c>
      <c r="K33" s="11">
        <f>+3</f>
        <v>3</v>
      </c>
      <c r="L33" s="11">
        <v>-2.0</v>
      </c>
      <c r="M33" s="11">
        <f t="shared" si="29"/>
        <v>1</v>
      </c>
      <c r="N33" s="11">
        <v>-3.0</v>
      </c>
      <c r="O33" s="11" t="s">
        <v>76</v>
      </c>
      <c r="P33" s="13">
        <v>2.0</v>
      </c>
      <c r="Q33" s="11"/>
      <c r="R33" s="11"/>
      <c r="S33" s="11"/>
      <c r="T33" s="11"/>
      <c r="U33" s="11"/>
      <c r="V33" s="11"/>
      <c r="W33" s="11"/>
      <c r="X33" s="11"/>
      <c r="Y33" s="11"/>
      <c r="Z33" s="11"/>
      <c r="AA33" s="11"/>
      <c r="AB33" s="11"/>
    </row>
    <row r="34" ht="15.75" customHeight="1">
      <c r="A34" s="11" t="s">
        <v>168</v>
      </c>
      <c r="B34" s="12" t="s">
        <v>44</v>
      </c>
      <c r="C34" s="11" t="s">
        <v>30</v>
      </c>
      <c r="D34" s="18" t="s">
        <v>169</v>
      </c>
      <c r="E34" s="11">
        <v>14.0</v>
      </c>
      <c r="F34" s="11">
        <v>28.0</v>
      </c>
      <c r="G34" s="11" t="s">
        <v>170</v>
      </c>
      <c r="H34" s="11" t="s">
        <v>75</v>
      </c>
      <c r="I34" s="11">
        <f>+4</f>
        <v>4</v>
      </c>
      <c r="J34" s="11">
        <f t="shared" ref="J34:K34" si="30">+1</f>
        <v>1</v>
      </c>
      <c r="K34" s="11">
        <f t="shared" si="30"/>
        <v>1</v>
      </c>
      <c r="L34" s="11">
        <v>-3.0</v>
      </c>
      <c r="M34" s="11">
        <f t="shared" si="29"/>
        <v>1</v>
      </c>
      <c r="N34" s="11">
        <v>-3.0</v>
      </c>
      <c r="O34" s="11" t="s">
        <v>76</v>
      </c>
      <c r="P34" s="13">
        <v>6.0</v>
      </c>
      <c r="Q34" s="11" t="s">
        <v>171</v>
      </c>
      <c r="R34" s="11"/>
      <c r="S34" s="11"/>
      <c r="T34" s="11"/>
      <c r="U34" s="11"/>
      <c r="V34" s="11"/>
      <c r="W34" s="11"/>
      <c r="X34" s="11"/>
      <c r="Y34" s="11"/>
      <c r="Z34" s="11"/>
      <c r="AA34" s="11"/>
      <c r="AB34" s="11"/>
    </row>
    <row r="35" ht="15.75" customHeight="1">
      <c r="A35" s="11" t="s">
        <v>172</v>
      </c>
      <c r="B35" s="12" t="s">
        <v>44</v>
      </c>
      <c r="C35" s="11" t="s">
        <v>30</v>
      </c>
      <c r="D35" s="19" t="s">
        <v>173</v>
      </c>
      <c r="E35" s="11">
        <v>12.0</v>
      </c>
      <c r="F35" s="11">
        <v>18.0</v>
      </c>
      <c r="G35" s="11" t="s">
        <v>174</v>
      </c>
      <c r="H35" s="11" t="s">
        <v>80</v>
      </c>
      <c r="I35" s="11">
        <f t="shared" ref="I35:J35" si="31">+2</f>
        <v>2</v>
      </c>
      <c r="J35" s="11">
        <f t="shared" si="31"/>
        <v>2</v>
      </c>
      <c r="K35" s="11">
        <f>+0</f>
        <v>0</v>
      </c>
      <c r="L35" s="11">
        <v>-3.0</v>
      </c>
      <c r="M35" s="11">
        <f t="shared" si="29"/>
        <v>1</v>
      </c>
      <c r="N35" s="11">
        <v>-3.0</v>
      </c>
      <c r="O35" s="11" t="s">
        <v>76</v>
      </c>
      <c r="P35" s="13">
        <v>4.0</v>
      </c>
      <c r="Q35" s="11" t="s">
        <v>175</v>
      </c>
      <c r="R35" s="11"/>
      <c r="S35" s="11"/>
      <c r="T35" s="11"/>
      <c r="U35" s="11"/>
      <c r="V35" s="11"/>
      <c r="W35" s="11"/>
      <c r="X35" s="11"/>
      <c r="Y35" s="11"/>
      <c r="Z35" s="11"/>
      <c r="AA35" s="11"/>
      <c r="AB35" s="11"/>
    </row>
    <row r="36" ht="15.75" customHeight="1">
      <c r="A36" s="11" t="s">
        <v>176</v>
      </c>
      <c r="B36" s="12">
        <v>2.0</v>
      </c>
      <c r="C36" s="11" t="s">
        <v>30</v>
      </c>
      <c r="D36" s="18" t="s">
        <v>177</v>
      </c>
      <c r="E36" s="11" t="s">
        <v>134</v>
      </c>
      <c r="F36" s="11">
        <v>14.0</v>
      </c>
      <c r="G36" s="11" t="s">
        <v>178</v>
      </c>
      <c r="H36" s="11" t="s">
        <v>167</v>
      </c>
      <c r="I36" s="11">
        <f>+2</f>
        <v>2</v>
      </c>
      <c r="J36" s="11">
        <f t="shared" ref="J36:K36" si="32">+1</f>
        <v>1</v>
      </c>
      <c r="K36" s="11">
        <f t="shared" si="32"/>
        <v>1</v>
      </c>
      <c r="L36" s="11">
        <f>+0</f>
        <v>0</v>
      </c>
      <c r="M36" s="11">
        <f>+2</f>
        <v>2</v>
      </c>
      <c r="N36" s="11">
        <f>+1</f>
        <v>1</v>
      </c>
      <c r="O36" s="11" t="s">
        <v>76</v>
      </c>
      <c r="P36" s="13">
        <v>3.0</v>
      </c>
      <c r="Q36" s="11"/>
      <c r="R36" s="11"/>
      <c r="S36" s="11"/>
      <c r="T36" s="11"/>
      <c r="U36" s="11"/>
      <c r="V36" s="11"/>
      <c r="W36" s="11"/>
      <c r="X36" s="11"/>
      <c r="Y36" s="11"/>
      <c r="Z36" s="11"/>
      <c r="AA36" s="11"/>
      <c r="AB36" s="11"/>
    </row>
    <row r="37" ht="15.75" customHeight="1">
      <c r="A37" s="11" t="s">
        <v>179</v>
      </c>
      <c r="B37" s="12">
        <v>0.25</v>
      </c>
      <c r="C37" s="11" t="s">
        <v>30</v>
      </c>
      <c r="D37" s="11" t="s">
        <v>180</v>
      </c>
      <c r="E37" s="11">
        <v>11.0</v>
      </c>
      <c r="F37" s="11">
        <v>4.0</v>
      </c>
      <c r="G37" s="11" t="s">
        <v>181</v>
      </c>
      <c r="H37" s="11" t="s">
        <v>80</v>
      </c>
      <c r="I37" s="11">
        <v>-3.0</v>
      </c>
      <c r="J37" s="11">
        <f t="shared" ref="J37:J38" si="33">+1</f>
        <v>1</v>
      </c>
      <c r="K37" s="11">
        <f t="shared" ref="K37:K38" si="34">+0</f>
        <v>0</v>
      </c>
      <c r="L37" s="11">
        <v>-4.0</v>
      </c>
      <c r="M37" s="11">
        <v>-3.0</v>
      </c>
      <c r="N37" s="11">
        <v>-4.0</v>
      </c>
      <c r="O37" s="11" t="s">
        <v>76</v>
      </c>
      <c r="P37" s="13">
        <v>1.0</v>
      </c>
      <c r="Q37" s="11" t="s">
        <v>182</v>
      </c>
      <c r="R37" s="11"/>
      <c r="S37" s="11"/>
      <c r="T37" s="11"/>
      <c r="U37" s="11"/>
      <c r="V37" s="11"/>
      <c r="W37" s="11"/>
      <c r="X37" s="11"/>
      <c r="Y37" s="11"/>
      <c r="Z37" s="11"/>
      <c r="AA37" s="11"/>
      <c r="AB37" s="11"/>
    </row>
    <row r="38" ht="15.75" customHeight="1">
      <c r="A38" s="11" t="s">
        <v>183</v>
      </c>
      <c r="B38" s="12" t="s">
        <v>44</v>
      </c>
      <c r="C38" s="11" t="s">
        <v>30</v>
      </c>
      <c r="D38" s="11" t="s">
        <v>184</v>
      </c>
      <c r="E38" s="11">
        <v>11.0</v>
      </c>
      <c r="F38" s="11">
        <v>18.0</v>
      </c>
      <c r="G38" s="11" t="s">
        <v>185</v>
      </c>
      <c r="H38" s="11" t="s">
        <v>80</v>
      </c>
      <c r="I38" s="11">
        <v>-3.0</v>
      </c>
      <c r="J38" s="11">
        <f t="shared" si="33"/>
        <v>1</v>
      </c>
      <c r="K38" s="11">
        <f t="shared" si="34"/>
        <v>0</v>
      </c>
      <c r="L38" s="11">
        <v>-4.0</v>
      </c>
      <c r="M38" s="11">
        <v>-3.0</v>
      </c>
      <c r="N38" s="11">
        <v>-4.0</v>
      </c>
      <c r="O38" s="11" t="s">
        <v>76</v>
      </c>
      <c r="P38" s="13">
        <v>4.0</v>
      </c>
      <c r="Q38" s="11" t="s">
        <v>182</v>
      </c>
      <c r="R38" s="11"/>
      <c r="S38" s="11"/>
      <c r="T38" s="11"/>
      <c r="U38" s="11"/>
      <c r="V38" s="11"/>
      <c r="W38" s="11"/>
      <c r="X38" s="11"/>
      <c r="Y38" s="11"/>
      <c r="Z38" s="11"/>
      <c r="AA38" s="11"/>
      <c r="AB38" s="11"/>
    </row>
    <row r="39" ht="15.75" customHeight="1">
      <c r="A39" s="11" t="s">
        <v>186</v>
      </c>
      <c r="B39" s="12">
        <v>6.0</v>
      </c>
      <c r="C39" s="11" t="s">
        <v>30</v>
      </c>
      <c r="D39" s="11" t="s">
        <v>187</v>
      </c>
      <c r="E39" s="11">
        <v>16.0</v>
      </c>
      <c r="F39" s="11">
        <v>49.0</v>
      </c>
      <c r="G39" s="11" t="s">
        <v>188</v>
      </c>
      <c r="H39" s="11" t="s">
        <v>48</v>
      </c>
      <c r="I39" s="11">
        <f>+5</f>
        <v>5</v>
      </c>
      <c r="J39" s="11">
        <f t="shared" ref="J39:K39" si="35">+4</f>
        <v>4</v>
      </c>
      <c r="K39" s="11">
        <f t="shared" si="35"/>
        <v>4</v>
      </c>
      <c r="L39" s="11">
        <v>-3.0</v>
      </c>
      <c r="M39" s="11">
        <f>+2</f>
        <v>2</v>
      </c>
      <c r="N39" s="11">
        <v>-1.0</v>
      </c>
      <c r="O39" s="11" t="s">
        <v>13</v>
      </c>
      <c r="P39" s="13">
        <v>10.0</v>
      </c>
      <c r="Q39" s="11" t="s">
        <v>189</v>
      </c>
      <c r="R39" s="11"/>
      <c r="S39" s="11"/>
      <c r="T39" s="11"/>
      <c r="U39" s="11"/>
      <c r="V39" s="11"/>
      <c r="W39" s="11"/>
      <c r="X39" s="11"/>
      <c r="Y39" s="11"/>
      <c r="Z39" s="11"/>
      <c r="AA39" s="11"/>
      <c r="AB39" s="11"/>
    </row>
    <row r="40" ht="15.75" customHeight="1">
      <c r="A40" s="11" t="s">
        <v>190</v>
      </c>
      <c r="B40" s="12">
        <v>4.0</v>
      </c>
      <c r="C40" s="11" t="s">
        <v>30</v>
      </c>
      <c r="D40" s="11" t="s">
        <v>191</v>
      </c>
      <c r="E40" s="11">
        <v>15.0</v>
      </c>
      <c r="F40" s="11">
        <v>25.0</v>
      </c>
      <c r="G40" s="11" t="s">
        <v>192</v>
      </c>
      <c r="H40" s="11" t="s">
        <v>33</v>
      </c>
      <c r="I40" s="11">
        <f>+3</f>
        <v>3</v>
      </c>
      <c r="J40" s="11">
        <v>-1.0</v>
      </c>
      <c r="K40" s="11">
        <f>+3</f>
        <v>3</v>
      </c>
      <c r="L40" s="11">
        <v>-1.0</v>
      </c>
      <c r="M40" s="11">
        <f>+1</f>
        <v>1</v>
      </c>
      <c r="N40" s="11">
        <v>-2.0</v>
      </c>
      <c r="O40" s="11" t="s">
        <v>13</v>
      </c>
      <c r="P40" s="13">
        <v>5.0</v>
      </c>
      <c r="Q40" s="11" t="s">
        <v>193</v>
      </c>
      <c r="R40" s="11"/>
      <c r="S40" s="11"/>
      <c r="T40" s="11"/>
      <c r="U40" s="11"/>
      <c r="V40" s="11"/>
      <c r="W40" s="11"/>
      <c r="X40" s="11"/>
      <c r="Y40" s="11"/>
      <c r="Z40" s="11"/>
      <c r="AA40" s="11"/>
      <c r="AB40" s="11"/>
    </row>
    <row r="41" ht="15.75" customHeight="1">
      <c r="A41" s="11" t="s">
        <v>194</v>
      </c>
      <c r="B41" s="12">
        <v>8.0</v>
      </c>
      <c r="C41" s="11" t="s">
        <v>30</v>
      </c>
      <c r="D41" s="11" t="s">
        <v>195</v>
      </c>
      <c r="E41" s="11">
        <v>13.0</v>
      </c>
      <c r="F41" s="11">
        <v>28.0</v>
      </c>
      <c r="G41" s="11" t="s">
        <v>196</v>
      </c>
      <c r="H41" s="11" t="s">
        <v>55</v>
      </c>
      <c r="I41" s="11">
        <f>+2</f>
        <v>2</v>
      </c>
      <c r="J41" s="11">
        <f>+3</f>
        <v>3</v>
      </c>
      <c r="K41" s="11">
        <f t="shared" ref="K41:M41" si="36">+1</f>
        <v>1</v>
      </c>
      <c r="L41" s="11">
        <f t="shared" si="36"/>
        <v>1</v>
      </c>
      <c r="M41" s="11">
        <f t="shared" si="36"/>
        <v>1</v>
      </c>
      <c r="N41" s="11">
        <f>+0</f>
        <v>0</v>
      </c>
      <c r="O41" s="11" t="s">
        <v>13</v>
      </c>
      <c r="P41" s="13">
        <v>6.0</v>
      </c>
      <c r="Q41" s="11" t="s">
        <v>197</v>
      </c>
      <c r="R41" s="11" t="s">
        <v>198</v>
      </c>
      <c r="S41" s="11"/>
      <c r="T41" s="11"/>
      <c r="U41" s="11"/>
      <c r="V41" s="11"/>
      <c r="W41" s="11"/>
      <c r="X41" s="11"/>
      <c r="Y41" s="11"/>
      <c r="Z41" s="11"/>
      <c r="AA41" s="11"/>
      <c r="AB41" s="11"/>
    </row>
    <row r="42" ht="15.75" customHeight="1">
      <c r="A42" s="11" t="s">
        <v>199</v>
      </c>
      <c r="B42" s="12">
        <v>0.5</v>
      </c>
      <c r="C42" s="11" t="s">
        <v>30</v>
      </c>
      <c r="D42" s="11" t="s">
        <v>200</v>
      </c>
      <c r="E42" s="11">
        <v>11.0</v>
      </c>
      <c r="F42" s="11">
        <v>14.0</v>
      </c>
      <c r="G42" s="11" t="s">
        <v>201</v>
      </c>
      <c r="H42" s="11" t="s">
        <v>55</v>
      </c>
      <c r="I42" s="11">
        <v>-2.0</v>
      </c>
      <c r="J42" s="11">
        <f t="shared" ref="J42:K42" si="37">+1</f>
        <v>1</v>
      </c>
      <c r="K42" s="11">
        <f t="shared" si="37"/>
        <v>1</v>
      </c>
      <c r="L42" s="11">
        <v>-3.0</v>
      </c>
      <c r="M42" s="11">
        <f>+1</f>
        <v>1</v>
      </c>
      <c r="N42" s="11">
        <v>-3.0</v>
      </c>
      <c r="O42" s="11" t="s">
        <v>76</v>
      </c>
      <c r="P42" s="13">
        <v>3.0</v>
      </c>
      <c r="Q42" s="11" t="s">
        <v>202</v>
      </c>
      <c r="R42" s="11"/>
      <c r="S42" s="11"/>
      <c r="T42" s="11"/>
      <c r="U42" s="11"/>
      <c r="V42" s="11"/>
      <c r="W42" s="11"/>
      <c r="X42" s="11"/>
      <c r="Y42" s="11"/>
      <c r="Z42" s="11"/>
      <c r="AA42" s="11"/>
      <c r="AB42" s="11"/>
    </row>
    <row r="43" ht="15.75" customHeight="1">
      <c r="A43" s="11" t="s">
        <v>203</v>
      </c>
      <c r="B43" s="12">
        <v>4.0</v>
      </c>
      <c r="C43" s="11" t="s">
        <v>30</v>
      </c>
      <c r="D43" s="11" t="s">
        <v>204</v>
      </c>
      <c r="E43" s="11">
        <v>16.0</v>
      </c>
      <c r="F43" s="11">
        <v>42.0</v>
      </c>
      <c r="G43" s="11" t="s">
        <v>205</v>
      </c>
      <c r="H43" s="11" t="s">
        <v>55</v>
      </c>
      <c r="I43" s="11">
        <f>+2</f>
        <v>2</v>
      </c>
      <c r="J43" s="11">
        <f>+3</f>
        <v>3</v>
      </c>
      <c r="K43" s="11">
        <f t="shared" ref="K43:K45" si="39">+2</f>
        <v>2</v>
      </c>
      <c r="L43" s="11">
        <f t="shared" ref="L43:M43" si="38">+4</f>
        <v>4</v>
      </c>
      <c r="M43" s="11">
        <f t="shared" si="38"/>
        <v>4</v>
      </c>
      <c r="N43" s="11">
        <f>+5</f>
        <v>5</v>
      </c>
      <c r="O43" s="11" t="s">
        <v>41</v>
      </c>
      <c r="P43" s="13">
        <v>9.0</v>
      </c>
      <c r="Q43" s="11" t="s">
        <v>206</v>
      </c>
      <c r="R43" s="11" t="s">
        <v>207</v>
      </c>
      <c r="S43" s="11" t="s">
        <v>208</v>
      </c>
      <c r="T43" s="11"/>
      <c r="U43" s="11"/>
      <c r="V43" s="11"/>
      <c r="W43" s="11"/>
      <c r="X43" s="11"/>
      <c r="Y43" s="11"/>
      <c r="Z43" s="11"/>
      <c r="AA43" s="11"/>
      <c r="AB43" s="11"/>
    </row>
    <row r="44" ht="15.75" customHeight="1">
      <c r="A44" s="11" t="s">
        <v>209</v>
      </c>
      <c r="B44" s="12" t="s">
        <v>44</v>
      </c>
      <c r="C44" s="11" t="s">
        <v>30</v>
      </c>
      <c r="D44" s="11" t="s">
        <v>210</v>
      </c>
      <c r="E44" s="11">
        <v>15.0</v>
      </c>
      <c r="F44" s="11">
        <v>24.0</v>
      </c>
      <c r="G44" s="11" t="s">
        <v>211</v>
      </c>
      <c r="H44" s="11" t="s">
        <v>33</v>
      </c>
      <c r="I44" s="11">
        <f t="shared" ref="I44:I45" si="40">+3</f>
        <v>3</v>
      </c>
      <c r="J44" s="11">
        <f>+0</f>
        <v>0</v>
      </c>
      <c r="K44" s="11">
        <f t="shared" si="39"/>
        <v>2</v>
      </c>
      <c r="L44" s="11">
        <v>-3.0</v>
      </c>
      <c r="M44" s="11">
        <f>+0</f>
        <v>0</v>
      </c>
      <c r="N44" s="11">
        <v>-3.0</v>
      </c>
      <c r="O44" s="11" t="s">
        <v>76</v>
      </c>
      <c r="P44" s="13">
        <v>5.0</v>
      </c>
      <c r="Q44" s="11" t="s">
        <v>212</v>
      </c>
      <c r="R44" s="11"/>
      <c r="S44" s="11"/>
      <c r="T44" s="11"/>
      <c r="U44" s="11"/>
      <c r="V44" s="11"/>
      <c r="W44" s="11"/>
      <c r="X44" s="11"/>
      <c r="Y44" s="11"/>
      <c r="Z44" s="11"/>
      <c r="AA44" s="11"/>
      <c r="AB44" s="11"/>
    </row>
    <row r="45" ht="15.75" customHeight="1">
      <c r="A45" s="11" t="s">
        <v>213</v>
      </c>
      <c r="B45" s="12">
        <v>0.5</v>
      </c>
      <c r="C45" s="11" t="s">
        <v>30</v>
      </c>
      <c r="D45" s="11" t="s">
        <v>214</v>
      </c>
      <c r="E45" s="11">
        <v>14.0</v>
      </c>
      <c r="F45" s="11">
        <v>20.0</v>
      </c>
      <c r="G45" s="11" t="s">
        <v>215</v>
      </c>
      <c r="H45" s="11" t="s">
        <v>33</v>
      </c>
      <c r="I45" s="11">
        <f t="shared" si="40"/>
        <v>3</v>
      </c>
      <c r="J45" s="11">
        <f>+1</f>
        <v>1</v>
      </c>
      <c r="K45" s="11">
        <f t="shared" si="39"/>
        <v>2</v>
      </c>
      <c r="L45" s="11">
        <v>-2.0</v>
      </c>
      <c r="M45" s="11">
        <f>+1</f>
        <v>1</v>
      </c>
      <c r="N45" s="11">
        <v>-2.0</v>
      </c>
      <c r="O45" s="11" t="s">
        <v>76</v>
      </c>
      <c r="P45" s="13">
        <v>4.0</v>
      </c>
      <c r="Q45" s="11"/>
      <c r="R45" s="11"/>
      <c r="S45" s="11"/>
      <c r="T45" s="11"/>
      <c r="U45" s="11"/>
      <c r="V45" s="11"/>
      <c r="W45" s="11"/>
      <c r="X45" s="11"/>
      <c r="Y45" s="11"/>
      <c r="Z45" s="11"/>
      <c r="AA45" s="11"/>
      <c r="AB45" s="11"/>
    </row>
    <row r="46" ht="15.75" customHeight="1">
      <c r="A46" s="11" t="s">
        <v>216</v>
      </c>
      <c r="B46" s="12">
        <v>0.125</v>
      </c>
      <c r="C46" s="11" t="s">
        <v>30</v>
      </c>
      <c r="D46" s="11" t="s">
        <v>217</v>
      </c>
      <c r="E46" s="11" t="s">
        <v>218</v>
      </c>
      <c r="F46" s="11">
        <v>9.0</v>
      </c>
      <c r="G46" s="11" t="s">
        <v>219</v>
      </c>
      <c r="H46" s="11" t="s">
        <v>40</v>
      </c>
      <c r="I46" s="11">
        <f>+1</f>
        <v>1</v>
      </c>
      <c r="J46" s="11">
        <v>-1.0</v>
      </c>
      <c r="K46" s="11">
        <f>+0</f>
        <v>0</v>
      </c>
      <c r="L46" s="11">
        <v>-1.0</v>
      </c>
      <c r="M46" s="11">
        <f>+2</f>
        <v>2</v>
      </c>
      <c r="N46" s="11">
        <f t="shared" ref="N46:N47" si="41">+0</f>
        <v>0</v>
      </c>
      <c r="O46" s="11" t="s">
        <v>13</v>
      </c>
      <c r="P46" s="13">
        <v>2.0</v>
      </c>
      <c r="Q46" s="11" t="s">
        <v>220</v>
      </c>
      <c r="R46" s="11" t="s">
        <v>221</v>
      </c>
      <c r="S46" s="11"/>
      <c r="T46" s="11"/>
      <c r="U46" s="11"/>
      <c r="V46" s="11"/>
      <c r="W46" s="11"/>
      <c r="X46" s="11"/>
      <c r="Y46" s="11"/>
      <c r="Z46" s="11"/>
      <c r="AA46" s="11"/>
      <c r="AB46" s="11"/>
    </row>
    <row r="47" ht="15.75" customHeight="1">
      <c r="A47" s="11" t="s">
        <v>222</v>
      </c>
      <c r="B47" s="15">
        <v>6.0</v>
      </c>
      <c r="C47" s="11" t="s">
        <v>30</v>
      </c>
      <c r="D47" s="11" t="s">
        <v>223</v>
      </c>
      <c r="E47" s="11" t="s">
        <v>224</v>
      </c>
      <c r="F47" s="11">
        <v>38.0</v>
      </c>
      <c r="G47" s="11" t="s">
        <v>225</v>
      </c>
      <c r="H47" s="11" t="s">
        <v>167</v>
      </c>
      <c r="I47" s="11">
        <f>+5</f>
        <v>5</v>
      </c>
      <c r="J47" s="11">
        <f>+0</f>
        <v>0</v>
      </c>
      <c r="K47" s="11">
        <f>+2</f>
        <v>2</v>
      </c>
      <c r="L47" s="11">
        <v>-1.0</v>
      </c>
      <c r="M47" s="11">
        <v>-2.0</v>
      </c>
      <c r="N47" s="11">
        <f t="shared" si="41"/>
        <v>0</v>
      </c>
      <c r="O47" s="11" t="s">
        <v>13</v>
      </c>
      <c r="P47" s="13">
        <v>8.0</v>
      </c>
      <c r="Q47" s="11"/>
      <c r="R47" s="11"/>
      <c r="S47" s="11"/>
      <c r="T47" s="11"/>
      <c r="U47" s="11"/>
      <c r="V47" s="11"/>
      <c r="W47" s="11"/>
      <c r="X47" s="11"/>
      <c r="Y47" s="11"/>
      <c r="Z47" s="11"/>
      <c r="AA47" s="11"/>
      <c r="AB47" s="11"/>
    </row>
    <row r="48" ht="15.75" customHeight="1">
      <c r="A48" s="11" t="s">
        <v>226</v>
      </c>
      <c r="B48" s="12">
        <v>0.5</v>
      </c>
      <c r="C48" s="11" t="s">
        <v>30</v>
      </c>
      <c r="D48" s="11" t="s">
        <v>227</v>
      </c>
      <c r="E48" s="11">
        <v>13.0</v>
      </c>
      <c r="F48" s="11">
        <v>4.0</v>
      </c>
      <c r="G48" s="11" t="s">
        <v>228</v>
      </c>
      <c r="H48" s="11" t="s">
        <v>55</v>
      </c>
      <c r="I48" s="11">
        <v>-2.0</v>
      </c>
      <c r="J48" s="11">
        <f>+3</f>
        <v>3</v>
      </c>
      <c r="K48" s="11">
        <f>+0</f>
        <v>0</v>
      </c>
      <c r="L48" s="11">
        <v>-3.0</v>
      </c>
      <c r="M48" s="11">
        <f t="shared" ref="M48:M49" si="43">+0</f>
        <v>0</v>
      </c>
      <c r="N48" s="11">
        <v>-3.0</v>
      </c>
      <c r="O48" s="11" t="s">
        <v>76</v>
      </c>
      <c r="P48" s="13">
        <v>1.0</v>
      </c>
      <c r="Q48" s="11" t="s">
        <v>229</v>
      </c>
      <c r="R48" s="11"/>
      <c r="S48" s="11"/>
      <c r="T48" s="11"/>
      <c r="U48" s="11"/>
      <c r="V48" s="11"/>
      <c r="W48" s="11"/>
      <c r="X48" s="11"/>
      <c r="Y48" s="11"/>
      <c r="Z48" s="11"/>
      <c r="AA48" s="11"/>
      <c r="AB48" s="11"/>
    </row>
    <row r="49" ht="15.75" customHeight="1">
      <c r="A49" s="11" t="s">
        <v>230</v>
      </c>
      <c r="B49" s="12" t="s">
        <v>44</v>
      </c>
      <c r="C49" s="11" t="s">
        <v>30</v>
      </c>
      <c r="D49" s="11" t="s">
        <v>231</v>
      </c>
      <c r="E49" s="11">
        <v>13.0</v>
      </c>
      <c r="F49" s="11">
        <v>10.0</v>
      </c>
      <c r="G49" s="11" t="s">
        <v>232</v>
      </c>
      <c r="H49" s="11" t="s">
        <v>33</v>
      </c>
      <c r="I49" s="11">
        <f>+2</f>
        <v>2</v>
      </c>
      <c r="J49" s="11">
        <f t="shared" ref="J49:K49" si="42">+1</f>
        <v>1</v>
      </c>
      <c r="K49" s="11">
        <f t="shared" si="42"/>
        <v>1</v>
      </c>
      <c r="L49" s="11">
        <v>-2.0</v>
      </c>
      <c r="M49" s="11">
        <f t="shared" si="43"/>
        <v>0</v>
      </c>
      <c r="N49" s="11">
        <v>-2.0</v>
      </c>
      <c r="O49" s="11" t="s">
        <v>13</v>
      </c>
      <c r="P49" s="13">
        <v>2.0</v>
      </c>
      <c r="Q49" s="11" t="s">
        <v>233</v>
      </c>
      <c r="R49" s="11"/>
      <c r="S49" s="11"/>
      <c r="T49" s="11"/>
      <c r="U49" s="11"/>
      <c r="V49" s="11"/>
      <c r="W49" s="11"/>
      <c r="X49" s="11"/>
      <c r="Y49" s="11"/>
      <c r="Z49" s="11"/>
      <c r="AA49" s="11"/>
      <c r="AB49" s="11"/>
    </row>
    <row r="50" ht="15.75" customHeight="1">
      <c r="A50" s="11" t="s">
        <v>234</v>
      </c>
      <c r="B50" s="12">
        <v>19.0</v>
      </c>
      <c r="C50" s="11" t="s">
        <v>30</v>
      </c>
      <c r="D50" s="11" t="s">
        <v>235</v>
      </c>
      <c r="E50" s="11">
        <v>19.0</v>
      </c>
      <c r="F50" s="11">
        <v>77.0</v>
      </c>
      <c r="G50" s="11" t="s">
        <v>236</v>
      </c>
      <c r="H50" s="11" t="s">
        <v>48</v>
      </c>
      <c r="I50" s="11">
        <f>6</f>
        <v>6</v>
      </c>
      <c r="J50" s="11">
        <f>2</f>
        <v>2</v>
      </c>
      <c r="K50" s="11">
        <f>5</f>
        <v>5</v>
      </c>
      <c r="L50" s="11">
        <f>4</f>
        <v>4</v>
      </c>
      <c r="M50" s="11">
        <f>3</f>
        <v>3</v>
      </c>
      <c r="N50" s="11">
        <f>4</f>
        <v>4</v>
      </c>
      <c r="O50" s="11" t="s">
        <v>13</v>
      </c>
      <c r="P50" s="13">
        <v>16.0</v>
      </c>
      <c r="Q50" s="11" t="s">
        <v>237</v>
      </c>
      <c r="R50" s="11" t="s">
        <v>238</v>
      </c>
      <c r="S50" s="11" t="s">
        <v>239</v>
      </c>
      <c r="T50" s="11"/>
      <c r="U50" s="11"/>
      <c r="V50" s="11"/>
      <c r="W50" s="11"/>
      <c r="X50" s="11"/>
      <c r="Y50" s="11"/>
      <c r="Z50" s="11"/>
      <c r="AA50" s="11"/>
      <c r="AB50" s="11"/>
    </row>
    <row r="51" ht="15.75" customHeight="1">
      <c r="A51" s="11" t="s">
        <v>240</v>
      </c>
      <c r="B51" s="12">
        <v>0.25</v>
      </c>
      <c r="C51" s="11" t="s">
        <v>30</v>
      </c>
      <c r="D51" s="11" t="s">
        <v>241</v>
      </c>
      <c r="E51" s="11">
        <v>12.0</v>
      </c>
      <c r="F51" s="11">
        <v>11.0</v>
      </c>
      <c r="G51" s="11" t="s">
        <v>242</v>
      </c>
      <c r="H51" s="11" t="s">
        <v>40</v>
      </c>
      <c r="I51" s="11">
        <f>2</f>
        <v>2</v>
      </c>
      <c r="J51" s="11">
        <f>0</f>
        <v>0</v>
      </c>
      <c r="K51" s="11">
        <f>2</f>
        <v>2</v>
      </c>
      <c r="L51" s="11">
        <v>-2.0</v>
      </c>
      <c r="M51" s="11">
        <v>-1.0</v>
      </c>
      <c r="N51" s="11">
        <v>-3.0</v>
      </c>
      <c r="O51" s="11" t="s">
        <v>13</v>
      </c>
      <c r="P51" s="13">
        <v>2.0</v>
      </c>
      <c r="Q51" s="11" t="s">
        <v>243</v>
      </c>
      <c r="R51" s="11"/>
      <c r="S51" s="11"/>
      <c r="T51" s="11"/>
      <c r="U51" s="11"/>
      <c r="V51" s="11"/>
      <c r="W51" s="11"/>
      <c r="X51" s="11"/>
      <c r="Y51" s="11"/>
      <c r="Z51" s="11"/>
      <c r="AA51" s="11"/>
      <c r="AB51" s="11"/>
    </row>
    <row r="52" ht="15.75" customHeight="1">
      <c r="A52" s="11" t="s">
        <v>244</v>
      </c>
      <c r="B52" s="12">
        <v>9.0</v>
      </c>
      <c r="C52" s="11" t="s">
        <v>30</v>
      </c>
      <c r="D52" s="11" t="s">
        <v>245</v>
      </c>
      <c r="E52" s="11">
        <v>15.0</v>
      </c>
      <c r="F52" s="11">
        <v>40.0</v>
      </c>
      <c r="G52" s="11" t="s">
        <v>246</v>
      </c>
      <c r="H52" s="11" t="s">
        <v>40</v>
      </c>
      <c r="I52" s="11">
        <f>4</f>
        <v>4</v>
      </c>
      <c r="J52" s="11">
        <f>1</f>
        <v>1</v>
      </c>
      <c r="K52" s="11">
        <f>4</f>
        <v>4</v>
      </c>
      <c r="L52" s="11">
        <f>3</f>
        <v>3</v>
      </c>
      <c r="M52" s="11">
        <f t="shared" ref="M52:N52" si="44">2</f>
        <v>2</v>
      </c>
      <c r="N52" s="11">
        <f t="shared" si="44"/>
        <v>2</v>
      </c>
      <c r="O52" s="11" t="s">
        <v>13</v>
      </c>
      <c r="P52" s="13">
        <v>8.0</v>
      </c>
      <c r="Q52" s="11" t="s">
        <v>247</v>
      </c>
      <c r="R52" s="11"/>
      <c r="S52" s="11"/>
      <c r="T52" s="11"/>
      <c r="U52" s="11"/>
      <c r="V52" s="11"/>
      <c r="W52" s="11"/>
      <c r="X52" s="11"/>
      <c r="Y52" s="11"/>
      <c r="Z52" s="11"/>
      <c r="AA52" s="11"/>
      <c r="AB52" s="11"/>
    </row>
    <row r="53" ht="15.75" customHeight="1">
      <c r="A53" s="11" t="s">
        <v>248</v>
      </c>
      <c r="B53" s="12">
        <v>16.0</v>
      </c>
      <c r="C53" s="11" t="s">
        <v>30</v>
      </c>
      <c r="D53" s="11" t="s">
        <v>249</v>
      </c>
      <c r="E53" s="11">
        <v>17.0</v>
      </c>
      <c r="F53" s="11">
        <v>44.0</v>
      </c>
      <c r="G53" s="11" t="s">
        <v>250</v>
      </c>
      <c r="H53" s="11" t="s">
        <v>80</v>
      </c>
      <c r="I53" s="11">
        <f>+5</f>
        <v>5</v>
      </c>
      <c r="J53" s="11">
        <f>+4</f>
        <v>4</v>
      </c>
      <c r="K53" s="11">
        <f t="shared" ref="K53:M53" si="45">+3</f>
        <v>3</v>
      </c>
      <c r="L53" s="11">
        <f t="shared" si="45"/>
        <v>3</v>
      </c>
      <c r="M53" s="11">
        <f t="shared" si="45"/>
        <v>3</v>
      </c>
      <c r="N53" s="11">
        <f>+4</f>
        <v>4</v>
      </c>
      <c r="O53" s="11" t="s">
        <v>13</v>
      </c>
      <c r="P53" s="13">
        <v>9.0</v>
      </c>
      <c r="Q53" s="11" t="s">
        <v>251</v>
      </c>
      <c r="R53" s="11"/>
      <c r="S53" s="11"/>
      <c r="T53" s="11"/>
      <c r="U53" s="11"/>
      <c r="V53" s="11"/>
      <c r="W53" s="11"/>
      <c r="X53" s="11"/>
      <c r="Y53" s="11"/>
      <c r="Z53" s="11"/>
      <c r="AA53" s="11"/>
      <c r="AB53" s="11"/>
    </row>
    <row r="54" ht="15.75" customHeight="1">
      <c r="A54" s="11" t="s">
        <v>252</v>
      </c>
      <c r="B54" s="12">
        <v>6.0</v>
      </c>
      <c r="C54" s="11" t="s">
        <v>30</v>
      </c>
      <c r="D54" s="11" t="s">
        <v>253</v>
      </c>
      <c r="E54" s="11">
        <v>14.0</v>
      </c>
      <c r="F54" s="11">
        <v>24.0</v>
      </c>
      <c r="G54" s="11" t="s">
        <v>254</v>
      </c>
      <c r="H54" s="11" t="s">
        <v>55</v>
      </c>
      <c r="I54" s="11">
        <f t="shared" ref="I54:K54" si="46">+2</f>
        <v>2</v>
      </c>
      <c r="J54" s="11">
        <f t="shared" si="46"/>
        <v>2</v>
      </c>
      <c r="K54" s="11">
        <f t="shared" si="46"/>
        <v>2</v>
      </c>
      <c r="L54" s="11">
        <v>-1.0</v>
      </c>
      <c r="M54" s="11">
        <f>+1</f>
        <v>1</v>
      </c>
      <c r="N54" s="11">
        <f>+0</f>
        <v>0</v>
      </c>
      <c r="O54" s="11" t="s">
        <v>13</v>
      </c>
      <c r="P54" s="13">
        <v>5.0</v>
      </c>
      <c r="Q54" s="11" t="s">
        <v>255</v>
      </c>
      <c r="R54" s="11" t="s">
        <v>256</v>
      </c>
      <c r="S54" s="11"/>
      <c r="T54" s="11"/>
      <c r="U54" s="11"/>
      <c r="V54" s="11"/>
      <c r="W54" s="11"/>
      <c r="X54" s="11"/>
      <c r="Y54" s="11"/>
      <c r="Z54" s="11"/>
      <c r="AA54" s="11"/>
      <c r="AB54" s="11"/>
    </row>
    <row r="55" ht="15.75" customHeight="1">
      <c r="A55" s="11" t="s">
        <v>257</v>
      </c>
      <c r="B55" s="15">
        <v>25.0</v>
      </c>
      <c r="C55" s="11" t="s">
        <v>30</v>
      </c>
      <c r="D55" s="11" t="s">
        <v>258</v>
      </c>
      <c r="E55" s="11">
        <v>19.0</v>
      </c>
      <c r="F55" s="11">
        <v>76.0</v>
      </c>
      <c r="G55" s="11" t="s">
        <v>259</v>
      </c>
      <c r="H55" s="11" t="s">
        <v>260</v>
      </c>
      <c r="I55" s="11">
        <f>+5</f>
        <v>5</v>
      </c>
      <c r="J55" s="11">
        <f t="shared" ref="J55:K55" si="47">+4</f>
        <v>4</v>
      </c>
      <c r="K55" s="11">
        <f t="shared" si="47"/>
        <v>4</v>
      </c>
      <c r="L55" s="11">
        <f>+5</f>
        <v>5</v>
      </c>
      <c r="M55" s="11">
        <f>+4</f>
        <v>4</v>
      </c>
      <c r="N55" s="11">
        <f>+7</f>
        <v>7</v>
      </c>
      <c r="O55" s="11" t="s">
        <v>13</v>
      </c>
      <c r="P55" s="13">
        <v>16.0</v>
      </c>
      <c r="Q55" s="11" t="s">
        <v>237</v>
      </c>
      <c r="R55" s="11" t="s">
        <v>261</v>
      </c>
      <c r="S55" s="11" t="s">
        <v>262</v>
      </c>
      <c r="T55" s="11"/>
      <c r="U55" s="11"/>
      <c r="V55" s="11"/>
      <c r="W55" s="11"/>
      <c r="X55" s="11"/>
      <c r="Y55" s="11"/>
      <c r="Z55" s="11"/>
      <c r="AA55" s="11"/>
      <c r="AB55" s="11"/>
    </row>
    <row r="56" ht="15.75" customHeight="1">
      <c r="A56" s="11" t="s">
        <v>263</v>
      </c>
      <c r="B56" s="12">
        <v>5.0</v>
      </c>
      <c r="C56" s="11" t="s">
        <v>30</v>
      </c>
      <c r="D56" s="11" t="s">
        <v>264</v>
      </c>
      <c r="E56" s="11">
        <v>13.0</v>
      </c>
      <c r="F56" s="11">
        <v>14.0</v>
      </c>
      <c r="G56" s="11" t="s">
        <v>265</v>
      </c>
      <c r="H56" s="11" t="s">
        <v>40</v>
      </c>
      <c r="I56" s="11">
        <f t="shared" ref="I56:I57" si="49">+2</f>
        <v>2</v>
      </c>
      <c r="J56" s="11">
        <f>+3</f>
        <v>3</v>
      </c>
      <c r="K56" s="11">
        <f t="shared" ref="K56:N56" si="48">+1</f>
        <v>1</v>
      </c>
      <c r="L56" s="11">
        <f t="shared" si="48"/>
        <v>1</v>
      </c>
      <c r="M56" s="11">
        <f t="shared" si="48"/>
        <v>1</v>
      </c>
      <c r="N56" s="11">
        <f t="shared" si="48"/>
        <v>1</v>
      </c>
      <c r="O56" s="11" t="s">
        <v>13</v>
      </c>
      <c r="P56" s="13">
        <v>3.0</v>
      </c>
      <c r="Q56" s="11" t="s">
        <v>266</v>
      </c>
      <c r="R56" s="11"/>
      <c r="S56" s="11"/>
      <c r="T56" s="11"/>
      <c r="U56" s="11"/>
      <c r="V56" s="11"/>
      <c r="W56" s="11"/>
      <c r="X56" s="11"/>
      <c r="Y56" s="11"/>
      <c r="Z56" s="11"/>
      <c r="AA56" s="11"/>
      <c r="AB56" s="11"/>
    </row>
    <row r="57" ht="15.75" customHeight="1">
      <c r="A57" s="11" t="s">
        <v>267</v>
      </c>
      <c r="B57" s="12" t="s">
        <v>44</v>
      </c>
      <c r="C57" s="11" t="s">
        <v>30</v>
      </c>
      <c r="D57" s="11" t="s">
        <v>268</v>
      </c>
      <c r="E57" s="11">
        <v>14.0</v>
      </c>
      <c r="F57" s="11">
        <v>29.0</v>
      </c>
      <c r="G57" s="11" t="s">
        <v>269</v>
      </c>
      <c r="H57" s="11" t="s">
        <v>55</v>
      </c>
      <c r="I57" s="11">
        <f t="shared" si="49"/>
        <v>2</v>
      </c>
      <c r="J57" s="11">
        <f>+4</f>
        <v>4</v>
      </c>
      <c r="K57" s="11">
        <f>+2</f>
        <v>2</v>
      </c>
      <c r="L57" s="11">
        <f>+3</f>
        <v>3</v>
      </c>
      <c r="M57" s="11">
        <f>+2</f>
        <v>2</v>
      </c>
      <c r="N57" s="11">
        <f t="shared" ref="N57:N58" si="52">+5</f>
        <v>5</v>
      </c>
      <c r="O57" s="11" t="s">
        <v>13</v>
      </c>
      <c r="P57" s="13">
        <v>6.0</v>
      </c>
      <c r="Q57" s="11" t="s">
        <v>270</v>
      </c>
      <c r="R57" s="11" t="s">
        <v>271</v>
      </c>
      <c r="S57" s="11" t="s">
        <v>272</v>
      </c>
      <c r="T57" s="11"/>
      <c r="U57" s="11"/>
      <c r="V57" s="11"/>
      <c r="W57" s="11"/>
      <c r="X57" s="11"/>
      <c r="Y57" s="11"/>
      <c r="Z57" s="11"/>
      <c r="AA57" s="11"/>
      <c r="AB57" s="11"/>
    </row>
    <row r="58" ht="15.75" customHeight="1">
      <c r="A58" s="11" t="s">
        <v>273</v>
      </c>
      <c r="B58" s="12">
        <v>12.0</v>
      </c>
      <c r="C58" s="11" t="s">
        <v>30</v>
      </c>
      <c r="D58" s="11" t="s">
        <v>274</v>
      </c>
      <c r="E58" s="11" t="s">
        <v>275</v>
      </c>
      <c r="F58" s="11">
        <v>43.0</v>
      </c>
      <c r="G58" s="11" t="s">
        <v>276</v>
      </c>
      <c r="H58" s="11" t="s">
        <v>48</v>
      </c>
      <c r="I58" s="11">
        <f t="shared" ref="I58:J58" si="50">+4</f>
        <v>4</v>
      </c>
      <c r="J58" s="11">
        <f t="shared" si="50"/>
        <v>4</v>
      </c>
      <c r="K58" s="11">
        <f>+3</f>
        <v>3</v>
      </c>
      <c r="L58" s="11">
        <f t="shared" ref="L58:M58" si="51">+4</f>
        <v>4</v>
      </c>
      <c r="M58" s="11">
        <f t="shared" si="51"/>
        <v>4</v>
      </c>
      <c r="N58" s="11">
        <f t="shared" si="52"/>
        <v>5</v>
      </c>
      <c r="O58" s="11" t="s">
        <v>13</v>
      </c>
      <c r="P58" s="13">
        <v>9.0</v>
      </c>
      <c r="Q58" s="11" t="s">
        <v>277</v>
      </c>
      <c r="R58" s="11"/>
      <c r="S58" s="11"/>
      <c r="T58" s="11"/>
      <c r="U58" s="11"/>
      <c r="V58" s="11"/>
      <c r="W58" s="11"/>
      <c r="X58" s="11"/>
      <c r="Y58" s="11"/>
      <c r="Z58" s="11"/>
      <c r="AA58" s="11"/>
      <c r="AB58" s="11"/>
    </row>
    <row r="59" ht="15.75" customHeight="1">
      <c r="A59" s="11" t="s">
        <v>278</v>
      </c>
      <c r="B59" s="12">
        <v>11.0</v>
      </c>
      <c r="C59" s="11" t="s">
        <v>30</v>
      </c>
      <c r="D59" s="11" t="s">
        <v>279</v>
      </c>
      <c r="E59" s="11">
        <v>16.0</v>
      </c>
      <c r="F59" s="11">
        <v>35.0</v>
      </c>
      <c r="G59" s="11" t="s">
        <v>280</v>
      </c>
      <c r="H59" s="11" t="s">
        <v>48</v>
      </c>
      <c r="I59" s="11">
        <f>+5</f>
        <v>5</v>
      </c>
      <c r="J59" s="11">
        <f>+2</f>
        <v>2</v>
      </c>
      <c r="K59" s="11">
        <f>+4</f>
        <v>4</v>
      </c>
      <c r="L59" s="11">
        <f>+2</f>
        <v>2</v>
      </c>
      <c r="M59" s="11">
        <f>+1</f>
        <v>1</v>
      </c>
      <c r="N59" s="11">
        <f t="shared" ref="N59:N60" si="53">+2</f>
        <v>2</v>
      </c>
      <c r="O59" s="11" t="s">
        <v>13</v>
      </c>
      <c r="P59" s="13">
        <v>7.0</v>
      </c>
      <c r="Q59" s="11" t="s">
        <v>281</v>
      </c>
      <c r="R59" s="11"/>
      <c r="S59" s="11"/>
      <c r="T59" s="11"/>
      <c r="U59" s="11"/>
      <c r="V59" s="11"/>
      <c r="W59" s="11"/>
      <c r="X59" s="11"/>
      <c r="Y59" s="11"/>
      <c r="Z59" s="11"/>
      <c r="AA59" s="11"/>
      <c r="AB59" s="11"/>
    </row>
    <row r="60" ht="15.75" customHeight="1">
      <c r="A60" s="11" t="s">
        <v>282</v>
      </c>
      <c r="B60" s="12">
        <v>1.0</v>
      </c>
      <c r="C60" s="11" t="s">
        <v>30</v>
      </c>
      <c r="D60" s="11" t="s">
        <v>283</v>
      </c>
      <c r="E60" s="11">
        <v>13.0</v>
      </c>
      <c r="F60" s="11">
        <v>9.0</v>
      </c>
      <c r="G60" s="11" t="s">
        <v>284</v>
      </c>
      <c r="H60" s="11" t="s">
        <v>55</v>
      </c>
      <c r="I60" s="11">
        <v>-2.0</v>
      </c>
      <c r="J60" s="11">
        <f>+3</f>
        <v>3</v>
      </c>
      <c r="K60" s="11">
        <f>+0</f>
        <v>0</v>
      </c>
      <c r="L60" s="11">
        <f>+1</f>
        <v>1</v>
      </c>
      <c r="M60" s="11">
        <f>+0</f>
        <v>0</v>
      </c>
      <c r="N60" s="11">
        <f t="shared" si="53"/>
        <v>2</v>
      </c>
      <c r="O60" s="11" t="s">
        <v>13</v>
      </c>
      <c r="P60" s="13">
        <v>2.0</v>
      </c>
      <c r="Q60" s="11" t="s">
        <v>106</v>
      </c>
      <c r="R60" s="11" t="s">
        <v>285</v>
      </c>
      <c r="S60" s="11" t="s">
        <v>286</v>
      </c>
      <c r="T60" s="11"/>
      <c r="U60" s="11"/>
      <c r="V60" s="11"/>
      <c r="W60" s="11"/>
      <c r="X60" s="11"/>
      <c r="Y60" s="11"/>
      <c r="Z60" s="11"/>
      <c r="AA60" s="11"/>
      <c r="AB60" s="11"/>
    </row>
    <row r="61" ht="15.75" customHeight="1">
      <c r="A61" s="11" t="s">
        <v>287</v>
      </c>
      <c r="B61" s="15">
        <v>5.0</v>
      </c>
      <c r="C61" s="11" t="s">
        <v>30</v>
      </c>
      <c r="D61" s="11" t="s">
        <v>288</v>
      </c>
      <c r="E61" s="11">
        <v>13.0</v>
      </c>
      <c r="F61" s="11">
        <v>57.0</v>
      </c>
      <c r="G61" s="11" t="s">
        <v>289</v>
      </c>
      <c r="H61" s="11" t="s">
        <v>167</v>
      </c>
      <c r="I61" s="11">
        <f>+6</f>
        <v>6</v>
      </c>
      <c r="J61" s="11">
        <v>-1.0</v>
      </c>
      <c r="K61" s="11">
        <f>+3</f>
        <v>3</v>
      </c>
      <c r="L61" s="11">
        <v>-3.0</v>
      </c>
      <c r="M61" s="11">
        <f t="shared" ref="M61:M66" si="55">+1</f>
        <v>1</v>
      </c>
      <c r="N61" s="11">
        <v>-3.0</v>
      </c>
      <c r="O61" s="11" t="s">
        <v>76</v>
      </c>
      <c r="P61" s="13">
        <v>12.0</v>
      </c>
      <c r="Q61" s="11"/>
      <c r="R61" s="11"/>
      <c r="S61" s="11"/>
      <c r="T61" s="11"/>
      <c r="U61" s="11"/>
      <c r="V61" s="11"/>
      <c r="W61" s="11"/>
      <c r="X61" s="11"/>
      <c r="Y61" s="11"/>
      <c r="Z61" s="11"/>
      <c r="AA61" s="11"/>
      <c r="AB61" s="11"/>
    </row>
    <row r="62" ht="15.75" customHeight="1">
      <c r="A62" s="11" t="s">
        <v>290</v>
      </c>
      <c r="B62" s="12">
        <v>2.0</v>
      </c>
      <c r="C62" s="11" t="s">
        <v>30</v>
      </c>
      <c r="D62" s="11" t="s">
        <v>291</v>
      </c>
      <c r="E62" s="11">
        <v>13.0</v>
      </c>
      <c r="F62" s="11">
        <v>30.0</v>
      </c>
      <c r="G62" s="11" t="s">
        <v>292</v>
      </c>
      <c r="H62" s="11" t="s">
        <v>293</v>
      </c>
      <c r="I62" s="11">
        <f>+4</f>
        <v>4</v>
      </c>
      <c r="J62" s="11">
        <f t="shared" ref="J62:K62" si="54">+3</f>
        <v>3</v>
      </c>
      <c r="K62" s="11">
        <f t="shared" si="54"/>
        <v>3</v>
      </c>
      <c r="L62" s="11">
        <v>-3.0</v>
      </c>
      <c r="M62" s="11">
        <f t="shared" si="55"/>
        <v>1</v>
      </c>
      <c r="N62" s="11">
        <v>-3.0</v>
      </c>
      <c r="O62" s="11" t="s">
        <v>76</v>
      </c>
      <c r="P62" s="13">
        <v>6.0</v>
      </c>
      <c r="Q62" s="11"/>
      <c r="R62" s="11"/>
      <c r="S62" s="11"/>
      <c r="T62" s="11"/>
      <c r="U62" s="11"/>
      <c r="V62" s="11"/>
      <c r="W62" s="11"/>
      <c r="X62" s="11"/>
      <c r="Y62" s="11"/>
      <c r="Z62" s="11"/>
      <c r="AA62" s="11"/>
      <c r="AB62" s="11"/>
    </row>
    <row r="63" ht="15.75" customHeight="1">
      <c r="A63" s="11" t="s">
        <v>294</v>
      </c>
      <c r="B63" s="12" t="s">
        <v>44</v>
      </c>
      <c r="C63" s="11" t="s">
        <v>30</v>
      </c>
      <c r="D63" s="11" t="s">
        <v>295</v>
      </c>
      <c r="E63" s="11">
        <v>14.0</v>
      </c>
      <c r="F63" s="11">
        <v>20.0</v>
      </c>
      <c r="G63" s="11" t="s">
        <v>296</v>
      </c>
      <c r="H63" s="11" t="s">
        <v>48</v>
      </c>
      <c r="I63" s="11">
        <f>+2</f>
        <v>2</v>
      </c>
      <c r="J63" s="11">
        <f>+4</f>
        <v>4</v>
      </c>
      <c r="K63" s="11">
        <f>+2</f>
        <v>2</v>
      </c>
      <c r="L63" s="11">
        <v>-2.0</v>
      </c>
      <c r="M63" s="11">
        <f t="shared" si="55"/>
        <v>1</v>
      </c>
      <c r="N63" s="11">
        <v>-3.0</v>
      </c>
      <c r="O63" s="11" t="s">
        <v>76</v>
      </c>
      <c r="P63" s="13">
        <v>4.0</v>
      </c>
      <c r="Q63" s="11" t="s">
        <v>297</v>
      </c>
      <c r="R63" s="11"/>
      <c r="S63" s="11"/>
      <c r="T63" s="11"/>
      <c r="U63" s="11"/>
      <c r="V63" s="11"/>
      <c r="W63" s="11"/>
      <c r="X63" s="11"/>
      <c r="Y63" s="11"/>
      <c r="Z63" s="11"/>
      <c r="AA63" s="11"/>
      <c r="AB63" s="11"/>
    </row>
    <row r="64" ht="15.75" customHeight="1">
      <c r="A64" s="11" t="s">
        <v>298</v>
      </c>
      <c r="B64" s="12">
        <v>5.0</v>
      </c>
      <c r="C64" s="11" t="s">
        <v>30</v>
      </c>
      <c r="D64" s="11" t="s">
        <v>299</v>
      </c>
      <c r="E64" s="11">
        <v>17.0</v>
      </c>
      <c r="F64" s="11">
        <v>35.0</v>
      </c>
      <c r="G64" s="11" t="s">
        <v>300</v>
      </c>
      <c r="H64" s="11" t="s">
        <v>40</v>
      </c>
      <c r="I64" s="11">
        <f>+4</f>
        <v>4</v>
      </c>
      <c r="J64" s="11">
        <v>-1.0</v>
      </c>
      <c r="K64" s="11">
        <f t="shared" ref="K64:K65" si="56">+4</f>
        <v>4</v>
      </c>
      <c r="L64" s="11">
        <v>-3.0</v>
      </c>
      <c r="M64" s="11">
        <f t="shared" si="55"/>
        <v>1</v>
      </c>
      <c r="N64" s="11">
        <v>-3.0</v>
      </c>
      <c r="O64" s="11" t="s">
        <v>76</v>
      </c>
      <c r="P64" s="13">
        <v>7.0</v>
      </c>
      <c r="Q64" s="11" t="s">
        <v>301</v>
      </c>
      <c r="R64" s="11"/>
      <c r="S64" s="11"/>
      <c r="T64" s="11"/>
      <c r="U64" s="11"/>
      <c r="V64" s="11"/>
      <c r="W64" s="11"/>
      <c r="X64" s="11"/>
      <c r="Y64" s="11"/>
      <c r="Z64" s="11"/>
      <c r="AA64" s="11"/>
      <c r="AB64" s="11"/>
    </row>
    <row r="65" ht="15.75" customHeight="1">
      <c r="A65" s="11" t="s">
        <v>302</v>
      </c>
      <c r="B65" s="12">
        <v>8.0</v>
      </c>
      <c r="C65" s="11" t="s">
        <v>30</v>
      </c>
      <c r="D65" s="11" t="s">
        <v>303</v>
      </c>
      <c r="E65" s="11">
        <v>13.0</v>
      </c>
      <c r="F65" s="11">
        <v>44.0</v>
      </c>
      <c r="G65" s="11" t="s">
        <v>304</v>
      </c>
      <c r="H65" s="11" t="s">
        <v>167</v>
      </c>
      <c r="I65" s="11">
        <f>+5</f>
        <v>5</v>
      </c>
      <c r="J65" s="11">
        <f>+1</f>
        <v>1</v>
      </c>
      <c r="K65" s="11">
        <f t="shared" si="56"/>
        <v>4</v>
      </c>
      <c r="L65" s="11">
        <v>-3.0</v>
      </c>
      <c r="M65" s="11">
        <f t="shared" si="55"/>
        <v>1</v>
      </c>
      <c r="N65" s="11">
        <v>-3.0</v>
      </c>
      <c r="O65" s="11" t="s">
        <v>76</v>
      </c>
      <c r="P65" s="13">
        <v>9.0</v>
      </c>
      <c r="Q65" s="11"/>
      <c r="R65" s="11"/>
      <c r="S65" s="11"/>
      <c r="T65" s="11"/>
      <c r="U65" s="11"/>
      <c r="V65" s="11"/>
      <c r="W65" s="11"/>
      <c r="X65" s="11"/>
      <c r="Y65" s="11"/>
      <c r="Z65" s="11"/>
      <c r="AA65" s="11"/>
      <c r="AB65" s="11"/>
    </row>
    <row r="66" ht="15.75" customHeight="1">
      <c r="A66" s="11" t="s">
        <v>305</v>
      </c>
      <c r="B66" s="12">
        <v>0.25</v>
      </c>
      <c r="C66" s="11" t="s">
        <v>30</v>
      </c>
      <c r="D66" s="11" t="s">
        <v>306</v>
      </c>
      <c r="E66" s="11">
        <v>13.0</v>
      </c>
      <c r="F66" s="11">
        <v>10.0</v>
      </c>
      <c r="G66" s="11" t="s">
        <v>307</v>
      </c>
      <c r="H66" s="11" t="s">
        <v>167</v>
      </c>
      <c r="I66" s="11">
        <v>-1.0</v>
      </c>
      <c r="J66" s="11">
        <f>+3</f>
        <v>3</v>
      </c>
      <c r="K66" s="11">
        <f>+1</f>
        <v>1</v>
      </c>
      <c r="L66" s="11">
        <v>-2.0</v>
      </c>
      <c r="M66" s="11">
        <f t="shared" si="55"/>
        <v>1</v>
      </c>
      <c r="N66" s="11">
        <v>-3.0</v>
      </c>
      <c r="O66" s="11" t="s">
        <v>76</v>
      </c>
      <c r="P66" s="13">
        <v>2.0</v>
      </c>
      <c r="Q66" s="11" t="s">
        <v>308</v>
      </c>
      <c r="R66" s="11"/>
      <c r="S66" s="11"/>
      <c r="T66" s="11"/>
      <c r="U66" s="11"/>
      <c r="V66" s="11"/>
      <c r="W66" s="11"/>
      <c r="X66" s="11"/>
      <c r="Y66" s="11"/>
      <c r="Z66" s="11"/>
      <c r="AA66" s="11"/>
      <c r="AB66" s="11"/>
    </row>
    <row r="67" ht="15.75" customHeight="1">
      <c r="A67" s="11" t="s">
        <v>309</v>
      </c>
      <c r="B67" s="12">
        <v>11.0</v>
      </c>
      <c r="C67" s="11" t="s">
        <v>30</v>
      </c>
      <c r="D67" s="11" t="s">
        <v>310</v>
      </c>
      <c r="E67" s="11">
        <v>14.0</v>
      </c>
      <c r="F67" s="11">
        <v>48.0</v>
      </c>
      <c r="G67" s="11" t="s">
        <v>311</v>
      </c>
      <c r="H67" s="11" t="s">
        <v>48</v>
      </c>
      <c r="I67" s="11">
        <f t="shared" ref="I67:J67" si="57">+4</f>
        <v>4</v>
      </c>
      <c r="J67" s="11">
        <f t="shared" si="57"/>
        <v>4</v>
      </c>
      <c r="K67" s="11">
        <f>+3</f>
        <v>3</v>
      </c>
      <c r="L67" s="11">
        <f>+4</f>
        <v>4</v>
      </c>
      <c r="M67" s="11">
        <f t="shared" ref="M67:N67" si="58">+3</f>
        <v>3</v>
      </c>
      <c r="N67" s="11">
        <f t="shared" si="58"/>
        <v>3</v>
      </c>
      <c r="O67" s="11" t="s">
        <v>76</v>
      </c>
      <c r="P67" s="13">
        <v>10.0</v>
      </c>
      <c r="Q67" s="11" t="s">
        <v>312</v>
      </c>
      <c r="R67" s="11" t="s">
        <v>313</v>
      </c>
      <c r="S67" s="11" t="s">
        <v>314</v>
      </c>
      <c r="T67" s="11"/>
      <c r="U67" s="11"/>
      <c r="V67" s="11"/>
      <c r="W67" s="11"/>
      <c r="X67" s="11"/>
      <c r="Y67" s="11"/>
      <c r="Z67" s="11"/>
      <c r="AA67" s="11"/>
      <c r="AB67" s="11"/>
    </row>
    <row r="68" ht="15.75" customHeight="1">
      <c r="A68" s="11" t="s">
        <v>315</v>
      </c>
      <c r="B68" s="12">
        <v>3.0</v>
      </c>
      <c r="C68" s="11" t="s">
        <v>30</v>
      </c>
      <c r="D68" s="11" t="s">
        <v>316</v>
      </c>
      <c r="E68" s="11">
        <v>12.0</v>
      </c>
      <c r="F68" s="11">
        <v>20.0</v>
      </c>
      <c r="G68" s="11" t="s">
        <v>317</v>
      </c>
      <c r="H68" s="11" t="s">
        <v>40</v>
      </c>
      <c r="I68" s="11">
        <f>+1</f>
        <v>1</v>
      </c>
      <c r="J68" s="11">
        <f t="shared" ref="J68:K68" si="59">+2</f>
        <v>2</v>
      </c>
      <c r="K68" s="11">
        <f t="shared" si="59"/>
        <v>2</v>
      </c>
      <c r="L68" s="11">
        <f>+1</f>
        <v>1</v>
      </c>
      <c r="M68" s="11">
        <f>+0</f>
        <v>0</v>
      </c>
      <c r="N68" s="11">
        <f>+4</f>
        <v>4</v>
      </c>
      <c r="O68" s="11" t="s">
        <v>13</v>
      </c>
      <c r="P68" s="13">
        <v>4.0</v>
      </c>
      <c r="Q68" s="11" t="s">
        <v>270</v>
      </c>
      <c r="R68" s="11" t="s">
        <v>318</v>
      </c>
      <c r="S68" s="11"/>
      <c r="T68" s="11"/>
      <c r="U68" s="11"/>
      <c r="V68" s="11"/>
      <c r="W68" s="11"/>
      <c r="X68" s="11"/>
      <c r="Y68" s="11"/>
      <c r="Z68" s="11"/>
      <c r="AA68" s="11"/>
      <c r="AB68" s="11"/>
    </row>
    <row r="69" ht="15.75" customHeight="1">
      <c r="A69" s="11" t="s">
        <v>319</v>
      </c>
      <c r="B69" s="12">
        <v>16.0</v>
      </c>
      <c r="C69" s="11" t="s">
        <v>30</v>
      </c>
      <c r="D69" s="11" t="s">
        <v>320</v>
      </c>
      <c r="E69" s="11">
        <v>17.0</v>
      </c>
      <c r="F69" s="11">
        <v>61.0</v>
      </c>
      <c r="G69" s="11" t="s">
        <v>321</v>
      </c>
      <c r="H69" s="11" t="s">
        <v>48</v>
      </c>
      <c r="I69" s="11">
        <f>+5</f>
        <v>5</v>
      </c>
      <c r="J69" s="11">
        <f t="shared" ref="J69:K69" si="60">+3</f>
        <v>3</v>
      </c>
      <c r="K69" s="11">
        <f t="shared" si="60"/>
        <v>3</v>
      </c>
      <c r="L69" s="11">
        <f>+4</f>
        <v>4</v>
      </c>
      <c r="M69" s="11">
        <f t="shared" ref="M69:N69" si="61">+5</f>
        <v>5</v>
      </c>
      <c r="N69" s="11">
        <f t="shared" si="61"/>
        <v>5</v>
      </c>
      <c r="O69" s="11" t="s">
        <v>41</v>
      </c>
      <c r="P69" s="13">
        <v>13.0</v>
      </c>
      <c r="Q69" s="11" t="s">
        <v>322</v>
      </c>
      <c r="R69" s="11" t="s">
        <v>323</v>
      </c>
      <c r="S69" s="11" t="s">
        <v>324</v>
      </c>
      <c r="T69" s="11"/>
      <c r="U69" s="11"/>
      <c r="V69" s="11"/>
      <c r="W69" s="11"/>
      <c r="X69" s="11"/>
      <c r="Y69" s="11"/>
      <c r="Z69" s="11"/>
      <c r="AA69" s="11"/>
      <c r="AB69" s="11"/>
    </row>
    <row r="70" ht="15.75" customHeight="1">
      <c r="A70" s="11" t="s">
        <v>325</v>
      </c>
      <c r="B70" s="12">
        <v>17.0</v>
      </c>
      <c r="C70" s="11" t="s">
        <v>30</v>
      </c>
      <c r="D70" s="11" t="s">
        <v>326</v>
      </c>
      <c r="E70" s="11">
        <v>18.0</v>
      </c>
      <c r="F70" s="11">
        <v>80.0</v>
      </c>
      <c r="G70" s="11" t="s">
        <v>327</v>
      </c>
      <c r="H70" s="11" t="s">
        <v>48</v>
      </c>
      <c r="I70" s="11">
        <f>+6</f>
        <v>6</v>
      </c>
      <c r="J70" s="11">
        <f>+5</f>
        <v>5</v>
      </c>
      <c r="K70" s="11">
        <f t="shared" ref="K70:M70" si="62">+4</f>
        <v>4</v>
      </c>
      <c r="L70" s="11">
        <f t="shared" si="62"/>
        <v>4</v>
      </c>
      <c r="M70" s="11">
        <f t="shared" si="62"/>
        <v>4</v>
      </c>
      <c r="N70" s="11">
        <f>+5</f>
        <v>5</v>
      </c>
      <c r="O70" s="11" t="s">
        <v>13</v>
      </c>
      <c r="P70" s="13">
        <v>17.0</v>
      </c>
      <c r="Q70" s="11" t="s">
        <v>328</v>
      </c>
      <c r="R70" s="11" t="s">
        <v>329</v>
      </c>
      <c r="S70" s="11"/>
      <c r="T70" s="11"/>
      <c r="U70" s="11"/>
      <c r="V70" s="11"/>
      <c r="W70" s="11"/>
      <c r="X70" s="11"/>
      <c r="Y70" s="11"/>
      <c r="Z70" s="11"/>
      <c r="AA70" s="11"/>
      <c r="AB70" s="11"/>
    </row>
    <row r="71" ht="15.75" customHeight="1">
      <c r="A71" s="11" t="s">
        <v>330</v>
      </c>
      <c r="B71" s="12" t="s">
        <v>44</v>
      </c>
      <c r="C71" s="11" t="s">
        <v>30</v>
      </c>
      <c r="D71" s="11" t="s">
        <v>331</v>
      </c>
      <c r="E71" s="11">
        <v>16.0</v>
      </c>
      <c r="F71" s="11">
        <v>58.0</v>
      </c>
      <c r="G71" s="11" t="s">
        <v>332</v>
      </c>
      <c r="H71" s="11" t="s">
        <v>48</v>
      </c>
      <c r="I71" s="11">
        <f t="shared" ref="I71:I72" si="64">+4</f>
        <v>4</v>
      </c>
      <c r="J71" s="11">
        <f t="shared" ref="J71:J72" si="65">+3</f>
        <v>3</v>
      </c>
      <c r="K71" s="11">
        <f>+4</f>
        <v>4</v>
      </c>
      <c r="L71" s="11">
        <f t="shared" ref="L71:M71" si="63">+3</f>
        <v>3</v>
      </c>
      <c r="M71" s="11">
        <f t="shared" si="63"/>
        <v>3</v>
      </c>
      <c r="N71" s="11">
        <f>+4</f>
        <v>4</v>
      </c>
      <c r="O71" s="11" t="s">
        <v>76</v>
      </c>
      <c r="P71" s="13">
        <v>12.0</v>
      </c>
      <c r="Q71" s="11" t="s">
        <v>333</v>
      </c>
      <c r="R71" s="11" t="s">
        <v>334</v>
      </c>
      <c r="S71" s="11"/>
      <c r="T71" s="11"/>
      <c r="U71" s="11"/>
      <c r="V71" s="11"/>
      <c r="W71" s="11"/>
      <c r="X71" s="11"/>
      <c r="Y71" s="11"/>
      <c r="Z71" s="11"/>
      <c r="AA71" s="11"/>
      <c r="AB71" s="11"/>
    </row>
    <row r="72" ht="15.75" customHeight="1">
      <c r="A72" s="11" t="s">
        <v>335</v>
      </c>
      <c r="B72" s="12" t="s">
        <v>44</v>
      </c>
      <c r="C72" s="11" t="s">
        <v>30</v>
      </c>
      <c r="D72" s="11" t="s">
        <v>336</v>
      </c>
      <c r="E72" s="11">
        <v>17.0</v>
      </c>
      <c r="F72" s="11">
        <v>68.0</v>
      </c>
      <c r="G72" s="11" t="s">
        <v>337</v>
      </c>
      <c r="H72" s="11" t="s">
        <v>48</v>
      </c>
      <c r="I72" s="11">
        <f t="shared" si="64"/>
        <v>4</v>
      </c>
      <c r="J72" s="11">
        <f t="shared" si="65"/>
        <v>3</v>
      </c>
      <c r="K72" s="11">
        <f>+5</f>
        <v>5</v>
      </c>
      <c r="L72" s="11">
        <f>+3</f>
        <v>3</v>
      </c>
      <c r="M72" s="11">
        <f>+4</f>
        <v>4</v>
      </c>
      <c r="N72" s="11">
        <f>+3</f>
        <v>3</v>
      </c>
      <c r="O72" s="11" t="s">
        <v>76</v>
      </c>
      <c r="P72" s="13">
        <v>14.0</v>
      </c>
      <c r="Q72" s="11" t="s">
        <v>338</v>
      </c>
      <c r="R72" s="11" t="s">
        <v>339</v>
      </c>
      <c r="S72" s="11"/>
      <c r="T72" s="11"/>
      <c r="U72" s="11"/>
      <c r="V72" s="11"/>
      <c r="W72" s="11"/>
      <c r="X72" s="11"/>
      <c r="Y72" s="11"/>
      <c r="Z72" s="11"/>
      <c r="AA72" s="11"/>
      <c r="AB72" s="11"/>
    </row>
    <row r="73" ht="15.75" customHeight="1">
      <c r="A73" s="11" t="s">
        <v>340</v>
      </c>
      <c r="B73" s="12">
        <v>16.0</v>
      </c>
      <c r="C73" s="11" t="s">
        <v>30</v>
      </c>
      <c r="D73" s="11" t="s">
        <v>341</v>
      </c>
      <c r="E73" s="11">
        <v>17.0</v>
      </c>
      <c r="F73" s="11">
        <v>76.0</v>
      </c>
      <c r="G73" s="11" t="s">
        <v>342</v>
      </c>
      <c r="H73" s="11" t="s">
        <v>343</v>
      </c>
      <c r="I73" s="11">
        <f t="shared" ref="I73:I74" si="68">+5</f>
        <v>5</v>
      </c>
      <c r="J73" s="11">
        <f>+6</f>
        <v>6</v>
      </c>
      <c r="K73" s="11">
        <f t="shared" ref="K73:L73" si="66">+4</f>
        <v>4</v>
      </c>
      <c r="L73" s="11">
        <f t="shared" si="66"/>
        <v>4</v>
      </c>
      <c r="M73" s="11">
        <f t="shared" ref="M73:N73" si="67">+5</f>
        <v>5</v>
      </c>
      <c r="N73" s="11">
        <f t="shared" si="67"/>
        <v>5</v>
      </c>
      <c r="O73" s="11" t="s">
        <v>41</v>
      </c>
      <c r="P73" s="13">
        <v>16.0</v>
      </c>
      <c r="Q73" s="11" t="s">
        <v>344</v>
      </c>
      <c r="R73" s="11" t="s">
        <v>345</v>
      </c>
      <c r="S73" s="11"/>
      <c r="T73" s="11"/>
      <c r="U73" s="11"/>
      <c r="V73" s="11"/>
      <c r="W73" s="11"/>
      <c r="X73" s="11"/>
      <c r="Y73" s="11"/>
      <c r="Z73" s="11"/>
      <c r="AA73" s="11"/>
      <c r="AB73" s="11"/>
    </row>
    <row r="74" ht="15.75" customHeight="1">
      <c r="A74" s="11" t="s">
        <v>346</v>
      </c>
      <c r="B74" s="12" t="s">
        <v>44</v>
      </c>
      <c r="C74" s="11" t="s">
        <v>30</v>
      </c>
      <c r="D74" s="11" t="s">
        <v>347</v>
      </c>
      <c r="E74" s="11">
        <v>16.0</v>
      </c>
      <c r="F74" s="11">
        <v>58.0</v>
      </c>
      <c r="G74" s="11" t="s">
        <v>348</v>
      </c>
      <c r="H74" s="11" t="s">
        <v>349</v>
      </c>
      <c r="I74" s="11">
        <f t="shared" si="68"/>
        <v>5</v>
      </c>
      <c r="J74" s="11">
        <f t="shared" ref="J74:J75" si="71">+3</f>
        <v>3</v>
      </c>
      <c r="K74" s="11">
        <f t="shared" ref="K74:L74" si="69">+4</f>
        <v>4</v>
      </c>
      <c r="L74" s="11">
        <f t="shared" si="69"/>
        <v>4</v>
      </c>
      <c r="M74" s="11">
        <f t="shared" ref="M74:N74" si="70">+3</f>
        <v>3</v>
      </c>
      <c r="N74" s="11">
        <f t="shared" si="70"/>
        <v>3</v>
      </c>
      <c r="O74" s="11" t="s">
        <v>13</v>
      </c>
      <c r="P74" s="13">
        <v>12.0</v>
      </c>
      <c r="Q74" s="11" t="s">
        <v>350</v>
      </c>
      <c r="R74" s="11"/>
      <c r="S74" s="11"/>
      <c r="T74" s="11"/>
      <c r="U74" s="11"/>
      <c r="V74" s="11"/>
      <c r="W74" s="11"/>
      <c r="X74" s="11"/>
      <c r="Y74" s="11"/>
      <c r="Z74" s="11"/>
      <c r="AA74" s="11"/>
      <c r="AB74" s="11"/>
    </row>
    <row r="75" ht="15.75" customHeight="1">
      <c r="A75" s="11" t="s">
        <v>351</v>
      </c>
      <c r="B75" s="12">
        <v>0.25</v>
      </c>
      <c r="C75" s="11" t="s">
        <v>30</v>
      </c>
      <c r="D75" s="11" t="s">
        <v>352</v>
      </c>
      <c r="E75" s="11">
        <v>16.0</v>
      </c>
      <c r="F75" s="11">
        <v>9.0</v>
      </c>
      <c r="G75" s="11" t="s">
        <v>353</v>
      </c>
      <c r="H75" s="11" t="s">
        <v>40</v>
      </c>
      <c r="I75" s="11">
        <f>+0</f>
        <v>0</v>
      </c>
      <c r="J75" s="11">
        <f t="shared" si="71"/>
        <v>3</v>
      </c>
      <c r="K75" s="11">
        <f>+0</f>
        <v>0</v>
      </c>
      <c r="L75" s="11">
        <f t="shared" ref="L75:N75" si="72">+1</f>
        <v>1</v>
      </c>
      <c r="M75" s="11">
        <f t="shared" si="72"/>
        <v>1</v>
      </c>
      <c r="N75" s="11">
        <f t="shared" si="72"/>
        <v>1</v>
      </c>
      <c r="O75" s="11" t="s">
        <v>13</v>
      </c>
      <c r="P75" s="13">
        <v>2.0</v>
      </c>
      <c r="Q75" s="11" t="s">
        <v>354</v>
      </c>
      <c r="R75" s="11" t="s">
        <v>233</v>
      </c>
      <c r="S75" s="11"/>
      <c r="T75" s="11"/>
      <c r="U75" s="11"/>
      <c r="V75" s="11"/>
      <c r="W75" s="11"/>
      <c r="X75" s="11"/>
      <c r="Y75" s="11"/>
      <c r="Z75" s="11"/>
      <c r="AA75" s="11"/>
      <c r="AB75" s="11"/>
    </row>
    <row r="76" ht="15.75" customHeight="1">
      <c r="A76" s="11" t="s">
        <v>355</v>
      </c>
      <c r="B76" s="12">
        <v>6.0</v>
      </c>
      <c r="C76" s="11" t="s">
        <v>30</v>
      </c>
      <c r="D76" s="11" t="s">
        <v>356</v>
      </c>
      <c r="E76" s="11">
        <v>16.0</v>
      </c>
      <c r="F76" s="11">
        <v>29.0</v>
      </c>
      <c r="G76" s="11" t="s">
        <v>357</v>
      </c>
      <c r="H76" s="11" t="s">
        <v>80</v>
      </c>
      <c r="I76" s="11">
        <f t="shared" ref="I76:J76" si="73">+3</f>
        <v>3</v>
      </c>
      <c r="J76" s="11">
        <f t="shared" si="73"/>
        <v>3</v>
      </c>
      <c r="K76" s="11">
        <f t="shared" ref="K76:M76" si="74">+2</f>
        <v>2</v>
      </c>
      <c r="L76" s="11">
        <f t="shared" si="74"/>
        <v>2</v>
      </c>
      <c r="M76" s="11">
        <f t="shared" si="74"/>
        <v>2</v>
      </c>
      <c r="N76" s="11">
        <f>+0</f>
        <v>0</v>
      </c>
      <c r="O76" s="11" t="s">
        <v>13</v>
      </c>
      <c r="P76" s="13">
        <v>6.0</v>
      </c>
      <c r="Q76" s="11" t="s">
        <v>358</v>
      </c>
      <c r="R76" s="11" t="s">
        <v>233</v>
      </c>
      <c r="S76" s="11"/>
      <c r="T76" s="11"/>
      <c r="U76" s="11"/>
      <c r="V76" s="11"/>
      <c r="W76" s="11"/>
      <c r="X76" s="11"/>
      <c r="Y76" s="11"/>
      <c r="Z76" s="11"/>
      <c r="AA76" s="11"/>
      <c r="AB76" s="11"/>
    </row>
    <row r="77" ht="15.75" customHeight="1">
      <c r="A77" s="11" t="s">
        <v>359</v>
      </c>
      <c r="B77" s="12">
        <v>8.0</v>
      </c>
      <c r="C77" s="11" t="s">
        <v>30</v>
      </c>
      <c r="D77" s="11" t="s">
        <v>360</v>
      </c>
      <c r="E77" s="11">
        <v>16.0</v>
      </c>
      <c r="F77" s="11">
        <v>28.0</v>
      </c>
      <c r="G77" s="11" t="s">
        <v>361</v>
      </c>
      <c r="H77" s="11" t="s">
        <v>40</v>
      </c>
      <c r="I77" s="11">
        <f>+2</f>
        <v>2</v>
      </c>
      <c r="J77" s="11">
        <f>+3</f>
        <v>3</v>
      </c>
      <c r="K77" s="11">
        <f>+1</f>
        <v>1</v>
      </c>
      <c r="L77" s="11">
        <f>+3</f>
        <v>3</v>
      </c>
      <c r="M77" s="11">
        <f>+4</f>
        <v>4</v>
      </c>
      <c r="N77" s="11">
        <f>+3</f>
        <v>3</v>
      </c>
      <c r="O77" s="11" t="s">
        <v>13</v>
      </c>
      <c r="P77" s="13">
        <v>6.0</v>
      </c>
      <c r="Q77" s="11" t="s">
        <v>358</v>
      </c>
      <c r="R77" s="11" t="s">
        <v>233</v>
      </c>
      <c r="S77" s="14" t="s">
        <v>362</v>
      </c>
      <c r="T77" s="14" t="s">
        <v>363</v>
      </c>
      <c r="U77" s="14" t="s">
        <v>364</v>
      </c>
      <c r="V77" s="11"/>
      <c r="W77" s="11"/>
      <c r="X77" s="11"/>
      <c r="Y77" s="11"/>
      <c r="Z77" s="11"/>
      <c r="AA77" s="11"/>
      <c r="AB77" s="11"/>
    </row>
    <row r="78" ht="15.75" customHeight="1">
      <c r="A78" s="11" t="s">
        <v>365</v>
      </c>
      <c r="B78" s="12">
        <v>2.0</v>
      </c>
      <c r="C78" s="11" t="s">
        <v>30</v>
      </c>
      <c r="D78" s="11" t="s">
        <v>366</v>
      </c>
      <c r="E78" s="11">
        <v>11.0</v>
      </c>
      <c r="F78" s="11">
        <v>31.0</v>
      </c>
      <c r="G78" s="11" t="s">
        <v>367</v>
      </c>
      <c r="H78" s="11" t="s">
        <v>40</v>
      </c>
      <c r="I78" s="11">
        <f>+0</f>
        <v>0</v>
      </c>
      <c r="J78" s="11">
        <f>+1</f>
        <v>1</v>
      </c>
      <c r="K78" s="11">
        <f>+0</f>
        <v>0</v>
      </c>
      <c r="L78" s="11">
        <f>+4</f>
        <v>4</v>
      </c>
      <c r="M78" s="11">
        <f t="shared" ref="M78:M79" si="76">+3</f>
        <v>3</v>
      </c>
      <c r="N78" s="11">
        <f>+0</f>
        <v>0</v>
      </c>
      <c r="O78" s="11" t="s">
        <v>76</v>
      </c>
      <c r="P78" s="13">
        <v>7.0</v>
      </c>
      <c r="Q78" s="11" t="s">
        <v>368</v>
      </c>
      <c r="R78" s="11" t="s">
        <v>369</v>
      </c>
      <c r="S78" s="11" t="s">
        <v>370</v>
      </c>
      <c r="T78" s="11" t="s">
        <v>371</v>
      </c>
      <c r="U78" s="11" t="s">
        <v>372</v>
      </c>
      <c r="V78" s="11"/>
      <c r="W78" s="11"/>
      <c r="X78" s="11"/>
      <c r="Y78" s="11"/>
      <c r="Z78" s="11"/>
      <c r="AA78" s="11"/>
      <c r="AB78" s="11"/>
    </row>
    <row r="79" ht="15.75" customHeight="1">
      <c r="A79" s="11" t="s">
        <v>373</v>
      </c>
      <c r="B79" s="12">
        <v>1.0</v>
      </c>
      <c r="C79" s="11" t="s">
        <v>30</v>
      </c>
      <c r="D79" s="11" t="s">
        <v>374</v>
      </c>
      <c r="E79" s="11">
        <v>13.0</v>
      </c>
      <c r="F79" s="11">
        <v>19.0</v>
      </c>
      <c r="G79" s="11" t="s">
        <v>375</v>
      </c>
      <c r="H79" s="11" t="s">
        <v>40</v>
      </c>
      <c r="I79" s="11">
        <v>-1.0</v>
      </c>
      <c r="J79" s="11">
        <f>+2</f>
        <v>2</v>
      </c>
      <c r="K79" s="11">
        <f t="shared" ref="K79:L79" si="75">+1</f>
        <v>1</v>
      </c>
      <c r="L79" s="11">
        <f t="shared" si="75"/>
        <v>1</v>
      </c>
      <c r="M79" s="11">
        <f t="shared" si="76"/>
        <v>3</v>
      </c>
      <c r="N79" s="11">
        <f>+4</f>
        <v>4</v>
      </c>
      <c r="O79" s="11" t="s">
        <v>76</v>
      </c>
      <c r="P79" s="13">
        <v>4.0</v>
      </c>
      <c r="Q79" s="11" t="s">
        <v>376</v>
      </c>
      <c r="R79" s="11" t="s">
        <v>377</v>
      </c>
      <c r="S79" s="11"/>
      <c r="T79" s="11"/>
      <c r="U79" s="11"/>
      <c r="V79" s="11"/>
      <c r="W79" s="11"/>
      <c r="X79" s="11"/>
      <c r="Y79" s="11"/>
      <c r="Z79" s="11"/>
      <c r="AA79" s="11"/>
      <c r="AB79" s="11"/>
    </row>
    <row r="80" ht="15.75" customHeight="1">
      <c r="A80" s="11" t="s">
        <v>378</v>
      </c>
      <c r="B80" s="12">
        <v>1.0</v>
      </c>
      <c r="C80" s="11" t="s">
        <v>30</v>
      </c>
      <c r="D80" s="11" t="s">
        <v>379</v>
      </c>
      <c r="E80" s="11" t="s">
        <v>380</v>
      </c>
      <c r="F80" s="11">
        <v>12.0</v>
      </c>
      <c r="G80" s="11" t="s">
        <v>381</v>
      </c>
      <c r="H80" s="11" t="s">
        <v>40</v>
      </c>
      <c r="I80" s="11">
        <f>+2</f>
        <v>2</v>
      </c>
      <c r="J80" s="11">
        <f>+0</f>
        <v>0</v>
      </c>
      <c r="K80" s="11">
        <f>+3</f>
        <v>3</v>
      </c>
      <c r="L80" s="11">
        <f>+0</f>
        <v>0</v>
      </c>
      <c r="M80" s="11">
        <v>-1.0</v>
      </c>
      <c r="N80" s="11">
        <v>-1.0</v>
      </c>
      <c r="O80" s="11" t="s">
        <v>13</v>
      </c>
      <c r="P80" s="13">
        <v>2.0</v>
      </c>
      <c r="Q80" s="11" t="s">
        <v>382</v>
      </c>
      <c r="R80" s="11" t="s">
        <v>383</v>
      </c>
      <c r="S80" s="11" t="s">
        <v>233</v>
      </c>
      <c r="T80" s="11"/>
      <c r="U80" s="11"/>
      <c r="V80" s="11"/>
      <c r="W80" s="11"/>
      <c r="X80" s="11"/>
      <c r="Y80" s="11"/>
      <c r="Z80" s="11"/>
      <c r="AA80" s="11"/>
      <c r="AB80" s="11"/>
    </row>
    <row r="81" ht="15.75" customHeight="1">
      <c r="A81" s="11" t="s">
        <v>384</v>
      </c>
      <c r="B81" s="12" t="s">
        <v>44</v>
      </c>
      <c r="C81" s="11" t="s">
        <v>30</v>
      </c>
      <c r="D81" s="11" t="s">
        <v>385</v>
      </c>
      <c r="E81" s="11">
        <v>13.0</v>
      </c>
      <c r="F81" s="11">
        <v>10.0</v>
      </c>
      <c r="G81" s="11" t="s">
        <v>386</v>
      </c>
      <c r="H81" s="11" t="s">
        <v>40</v>
      </c>
      <c r="I81" s="11">
        <f>+1</f>
        <v>1</v>
      </c>
      <c r="J81" s="11">
        <v>-1.0</v>
      </c>
      <c r="K81" s="11">
        <f>+1</f>
        <v>1</v>
      </c>
      <c r="L81" s="11">
        <v>-3.0</v>
      </c>
      <c r="M81" s="11">
        <v>-1.0</v>
      </c>
      <c r="N81" s="11">
        <v>-3.0</v>
      </c>
      <c r="O81" s="11" t="s">
        <v>76</v>
      </c>
      <c r="P81" s="13">
        <v>2.0</v>
      </c>
      <c r="Q81" s="11" t="s">
        <v>387</v>
      </c>
      <c r="R81" s="11"/>
      <c r="S81" s="11"/>
      <c r="T81" s="11"/>
      <c r="U81" s="11"/>
      <c r="V81" s="11"/>
      <c r="W81" s="11"/>
      <c r="X81" s="11"/>
      <c r="Y81" s="11"/>
      <c r="Z81" s="11"/>
      <c r="AA81" s="11"/>
      <c r="AB81" s="11"/>
    </row>
    <row r="82" ht="15.75" customHeight="1">
      <c r="A82" s="11" t="s">
        <v>388</v>
      </c>
      <c r="B82" s="12">
        <v>17.0</v>
      </c>
      <c r="C82" s="11" t="s">
        <v>30</v>
      </c>
      <c r="D82" s="11" t="s">
        <v>389</v>
      </c>
      <c r="E82" s="11">
        <v>15.0</v>
      </c>
      <c r="F82" s="11">
        <v>43.0</v>
      </c>
      <c r="G82" s="11" t="s">
        <v>390</v>
      </c>
      <c r="H82" s="11" t="s">
        <v>55</v>
      </c>
      <c r="I82" s="11">
        <f>+5</f>
        <v>5</v>
      </c>
      <c r="J82" s="11">
        <f>+2</f>
        <v>2</v>
      </c>
      <c r="K82" s="11">
        <f t="shared" ref="K82:L82" si="77">+3</f>
        <v>3</v>
      </c>
      <c r="L82" s="11">
        <f t="shared" si="77"/>
        <v>3</v>
      </c>
      <c r="M82" s="11">
        <f>+2</f>
        <v>2</v>
      </c>
      <c r="N82" s="11">
        <f>+3</f>
        <v>3</v>
      </c>
      <c r="O82" s="11" t="s">
        <v>13</v>
      </c>
      <c r="P82" s="13">
        <v>9.0</v>
      </c>
      <c r="Q82" s="11" t="s">
        <v>391</v>
      </c>
      <c r="R82" s="11" t="s">
        <v>392</v>
      </c>
      <c r="S82" s="11" t="s">
        <v>393</v>
      </c>
      <c r="T82" s="11"/>
      <c r="U82" s="11"/>
      <c r="V82" s="11"/>
      <c r="W82" s="11"/>
      <c r="X82" s="11"/>
      <c r="Y82" s="11"/>
      <c r="Z82" s="11"/>
      <c r="AA82" s="11"/>
      <c r="AB82" s="11"/>
    </row>
    <row r="83" ht="15.75" customHeight="1">
      <c r="A83" s="11" t="s">
        <v>394</v>
      </c>
      <c r="B83" s="12">
        <v>5.0</v>
      </c>
      <c r="C83" s="11" t="s">
        <v>30</v>
      </c>
      <c r="D83" s="11" t="s">
        <v>395</v>
      </c>
      <c r="E83" s="11">
        <v>16.0</v>
      </c>
      <c r="F83" s="11" t="s">
        <v>396</v>
      </c>
      <c r="G83" s="11" t="s">
        <v>397</v>
      </c>
      <c r="H83" s="11" t="s">
        <v>48</v>
      </c>
      <c r="I83" s="11">
        <f>+3</f>
        <v>3</v>
      </c>
      <c r="J83" s="11">
        <f>+5</f>
        <v>5</v>
      </c>
      <c r="K83" s="11">
        <f>+2</f>
        <v>2</v>
      </c>
      <c r="L83" s="11">
        <v>-2.0</v>
      </c>
      <c r="M83" s="11">
        <f t="shared" ref="M83:M87" si="78">+1</f>
        <v>1</v>
      </c>
      <c r="N83" s="11">
        <v>-2.0</v>
      </c>
      <c r="O83" s="11" t="s">
        <v>76</v>
      </c>
      <c r="P83" s="13" t="s">
        <v>396</v>
      </c>
      <c r="Q83" s="11" t="s">
        <v>312</v>
      </c>
      <c r="R83" s="11" t="s">
        <v>398</v>
      </c>
      <c r="S83" s="11"/>
      <c r="T83" s="11"/>
      <c r="U83" s="11"/>
      <c r="V83" s="11"/>
      <c r="W83" s="11"/>
      <c r="X83" s="11"/>
      <c r="Y83" s="11"/>
      <c r="Z83" s="11"/>
      <c r="AA83" s="11"/>
      <c r="AB83" s="11"/>
    </row>
    <row r="84" ht="15.75" customHeight="1">
      <c r="A84" s="11" t="s">
        <v>399</v>
      </c>
      <c r="B84" s="12">
        <v>5.0</v>
      </c>
      <c r="C84" s="11" t="s">
        <v>30</v>
      </c>
      <c r="D84" s="11" t="s">
        <v>400</v>
      </c>
      <c r="E84" s="11">
        <v>17.0</v>
      </c>
      <c r="F84" s="11" t="s">
        <v>396</v>
      </c>
      <c r="G84" s="11" t="s">
        <v>401</v>
      </c>
      <c r="H84" s="14" t="s">
        <v>75</v>
      </c>
      <c r="I84" s="11">
        <f>+5</f>
        <v>5</v>
      </c>
      <c r="J84" s="11">
        <f>+0</f>
        <v>0</v>
      </c>
      <c r="K84" s="11">
        <f>+4</f>
        <v>4</v>
      </c>
      <c r="L84" s="11">
        <v>-2.0</v>
      </c>
      <c r="M84" s="11">
        <f t="shared" si="78"/>
        <v>1</v>
      </c>
      <c r="N84" s="11">
        <v>-2.0</v>
      </c>
      <c r="O84" s="11" t="s">
        <v>76</v>
      </c>
      <c r="P84" s="13" t="s">
        <v>396</v>
      </c>
      <c r="Q84" s="11" t="s">
        <v>312</v>
      </c>
      <c r="R84" s="11" t="s">
        <v>402</v>
      </c>
      <c r="S84" s="11"/>
      <c r="T84" s="11"/>
      <c r="U84" s="11"/>
      <c r="V84" s="11"/>
      <c r="W84" s="11"/>
      <c r="X84" s="11"/>
      <c r="Y84" s="11"/>
      <c r="Z84" s="11"/>
      <c r="AA84" s="11"/>
      <c r="AB84" s="11"/>
    </row>
    <row r="85" ht="15.75" customHeight="1">
      <c r="A85" s="11" t="s">
        <v>403</v>
      </c>
      <c r="B85" s="12">
        <v>5.0</v>
      </c>
      <c r="C85" s="11" t="s">
        <v>30</v>
      </c>
      <c r="D85" s="11" t="s">
        <v>404</v>
      </c>
      <c r="E85" s="11">
        <v>15.0</v>
      </c>
      <c r="F85" s="11" t="s">
        <v>396</v>
      </c>
      <c r="G85" s="11" t="s">
        <v>405</v>
      </c>
      <c r="H85" s="11" t="s">
        <v>55</v>
      </c>
      <c r="I85" s="11">
        <f t="shared" ref="I85:I86" si="80">+4</f>
        <v>4</v>
      </c>
      <c r="J85" s="11">
        <f t="shared" ref="J85:K85" si="79">+3</f>
        <v>3</v>
      </c>
      <c r="K85" s="11">
        <f t="shared" si="79"/>
        <v>3</v>
      </c>
      <c r="L85" s="11">
        <v>-2.0</v>
      </c>
      <c r="M85" s="11">
        <f t="shared" si="78"/>
        <v>1</v>
      </c>
      <c r="N85" s="11">
        <v>-2.0</v>
      </c>
      <c r="O85" s="11" t="s">
        <v>76</v>
      </c>
      <c r="P85" s="13" t="s">
        <v>396</v>
      </c>
      <c r="Q85" s="11" t="s">
        <v>391</v>
      </c>
      <c r="R85" s="11" t="s">
        <v>406</v>
      </c>
      <c r="S85" s="11"/>
      <c r="T85" s="11"/>
      <c r="U85" s="11"/>
      <c r="V85" s="11"/>
      <c r="W85" s="11"/>
      <c r="X85" s="11"/>
      <c r="Y85" s="11"/>
      <c r="Z85" s="11"/>
      <c r="AA85" s="11"/>
      <c r="AB85" s="11"/>
    </row>
    <row r="86" ht="15.75" customHeight="1">
      <c r="A86" s="11" t="s">
        <v>407</v>
      </c>
      <c r="B86" s="12">
        <v>5.0</v>
      </c>
      <c r="C86" s="11" t="s">
        <v>30</v>
      </c>
      <c r="D86" s="11" t="s">
        <v>408</v>
      </c>
      <c r="E86" s="11">
        <v>15.0</v>
      </c>
      <c r="F86" s="11" t="s">
        <v>396</v>
      </c>
      <c r="G86" s="11" t="s">
        <v>409</v>
      </c>
      <c r="H86" s="11" t="s">
        <v>293</v>
      </c>
      <c r="I86" s="11">
        <f t="shared" si="80"/>
        <v>4</v>
      </c>
      <c r="J86" s="11">
        <f t="shared" ref="J86:K86" si="81">+2</f>
        <v>2</v>
      </c>
      <c r="K86" s="11">
        <f t="shared" si="81"/>
        <v>2</v>
      </c>
      <c r="L86" s="11">
        <v>-2.0</v>
      </c>
      <c r="M86" s="11">
        <f t="shared" si="78"/>
        <v>1</v>
      </c>
      <c r="N86" s="11">
        <v>-2.0</v>
      </c>
      <c r="O86" s="11" t="s">
        <v>76</v>
      </c>
      <c r="P86" s="13" t="s">
        <v>396</v>
      </c>
      <c r="Q86" s="11" t="s">
        <v>312</v>
      </c>
      <c r="R86" s="11" t="s">
        <v>410</v>
      </c>
      <c r="S86" s="11"/>
      <c r="T86" s="11"/>
      <c r="U86" s="11"/>
      <c r="V86" s="11"/>
      <c r="W86" s="11"/>
      <c r="X86" s="11"/>
      <c r="Y86" s="11"/>
      <c r="Z86" s="11"/>
      <c r="AA86" s="11"/>
      <c r="AB86" s="11"/>
    </row>
    <row r="87" ht="15.75" customHeight="1">
      <c r="A87" s="11" t="s">
        <v>411</v>
      </c>
      <c r="B87" s="12">
        <v>4.0</v>
      </c>
      <c r="C87" s="11" t="s">
        <v>30</v>
      </c>
      <c r="D87" s="11" t="s">
        <v>412</v>
      </c>
      <c r="E87" s="11">
        <v>14.0</v>
      </c>
      <c r="F87" s="11">
        <v>34.0</v>
      </c>
      <c r="G87" s="11" t="s">
        <v>413</v>
      </c>
      <c r="H87" s="11" t="s">
        <v>40</v>
      </c>
      <c r="I87" s="11">
        <f>+5</f>
        <v>5</v>
      </c>
      <c r="J87" s="11">
        <f>+0</f>
        <v>0</v>
      </c>
      <c r="K87" s="11">
        <f>+3</f>
        <v>3</v>
      </c>
      <c r="L87" s="11">
        <v>-2.0</v>
      </c>
      <c r="M87" s="11">
        <f t="shared" si="78"/>
        <v>1</v>
      </c>
      <c r="N87" s="11">
        <f>+0</f>
        <v>0</v>
      </c>
      <c r="O87" s="11" t="s">
        <v>76</v>
      </c>
      <c r="P87" s="13">
        <v>7.0</v>
      </c>
      <c r="Q87" s="11" t="s">
        <v>414</v>
      </c>
      <c r="R87" s="11"/>
      <c r="S87" s="11"/>
      <c r="T87" s="11"/>
      <c r="U87" s="11"/>
      <c r="V87" s="11"/>
      <c r="W87" s="11"/>
      <c r="X87" s="11"/>
      <c r="Y87" s="11"/>
      <c r="Z87" s="11"/>
      <c r="AA87" s="11"/>
      <c r="AB87" s="11"/>
    </row>
    <row r="88" ht="15.75" customHeight="1">
      <c r="A88" s="11" t="s">
        <v>415</v>
      </c>
      <c r="B88" s="12" t="s">
        <v>44</v>
      </c>
      <c r="C88" s="11" t="s">
        <v>30</v>
      </c>
      <c r="D88" s="11" t="s">
        <v>416</v>
      </c>
      <c r="E88" s="11">
        <v>13.0</v>
      </c>
      <c r="F88" s="11">
        <v>9.0</v>
      </c>
      <c r="G88" s="11" t="s">
        <v>417</v>
      </c>
      <c r="H88" s="11" t="s">
        <v>40</v>
      </c>
      <c r="I88" s="11">
        <f t="shared" ref="I88:I89" si="83">+0</f>
        <v>0</v>
      </c>
      <c r="J88" s="11">
        <f>+3</f>
        <v>3</v>
      </c>
      <c r="K88" s="11">
        <f>+0</f>
        <v>0</v>
      </c>
      <c r="L88" s="11">
        <f t="shared" ref="L88:N88" si="82">+1</f>
        <v>1</v>
      </c>
      <c r="M88" s="11">
        <f t="shared" si="82"/>
        <v>1</v>
      </c>
      <c r="N88" s="11">
        <f t="shared" si="82"/>
        <v>1</v>
      </c>
      <c r="O88" s="11" t="s">
        <v>41</v>
      </c>
      <c r="P88" s="13">
        <v>2.0</v>
      </c>
      <c r="Q88" s="11" t="s">
        <v>418</v>
      </c>
      <c r="R88" s="11"/>
      <c r="S88" s="11"/>
      <c r="T88" s="11"/>
      <c r="U88" s="11"/>
      <c r="V88" s="11"/>
      <c r="W88" s="11"/>
      <c r="X88" s="11"/>
      <c r="Y88" s="11"/>
      <c r="Z88" s="11"/>
      <c r="AA88" s="11"/>
      <c r="AB88" s="11"/>
    </row>
    <row r="89" ht="15.75" customHeight="1">
      <c r="A89" s="11" t="s">
        <v>419</v>
      </c>
      <c r="B89" s="12">
        <v>2.0</v>
      </c>
      <c r="C89" s="11" t="s">
        <v>30</v>
      </c>
      <c r="D89" s="11" t="s">
        <v>420</v>
      </c>
      <c r="E89" s="11">
        <v>12.0</v>
      </c>
      <c r="F89" s="11">
        <v>14.0</v>
      </c>
      <c r="G89" s="11" t="s">
        <v>421</v>
      </c>
      <c r="H89" s="11" t="s">
        <v>80</v>
      </c>
      <c r="I89" s="11">
        <f t="shared" si="83"/>
        <v>0</v>
      </c>
      <c r="J89" s="11">
        <f>+2</f>
        <v>2</v>
      </c>
      <c r="K89" s="11">
        <f>+1</f>
        <v>1</v>
      </c>
      <c r="L89" s="11">
        <f t="shared" ref="L89:M89" si="84">+0</f>
        <v>0</v>
      </c>
      <c r="M89" s="11">
        <f t="shared" si="84"/>
        <v>0</v>
      </c>
      <c r="N89" s="11">
        <v>-1.0</v>
      </c>
      <c r="O89" s="11" t="s">
        <v>13</v>
      </c>
      <c r="P89" s="13">
        <v>3.0</v>
      </c>
      <c r="Q89" s="11" t="s">
        <v>422</v>
      </c>
      <c r="R89" s="11"/>
      <c r="S89" s="11"/>
      <c r="T89" s="11"/>
      <c r="U89" s="11"/>
      <c r="V89" s="11"/>
      <c r="W89" s="11"/>
      <c r="X89" s="11"/>
      <c r="Y89" s="11"/>
      <c r="Z89" s="11"/>
      <c r="AA89" s="11"/>
      <c r="AB89" s="11"/>
    </row>
    <row r="90" ht="15.75" customHeight="1">
      <c r="A90" s="11" t="s">
        <v>423</v>
      </c>
      <c r="B90" s="12" t="s">
        <v>44</v>
      </c>
      <c r="C90" s="11" t="s">
        <v>30</v>
      </c>
      <c r="D90" s="11" t="s">
        <v>424</v>
      </c>
      <c r="E90" s="11">
        <v>13.0</v>
      </c>
      <c r="F90" s="11">
        <v>4.0</v>
      </c>
      <c r="G90" s="11" t="s">
        <v>425</v>
      </c>
      <c r="H90" s="11" t="s">
        <v>55</v>
      </c>
      <c r="I90" s="11">
        <v>-2.0</v>
      </c>
      <c r="J90" s="11">
        <f>+3</f>
        <v>3</v>
      </c>
      <c r="K90" s="11">
        <f>+0</f>
        <v>0</v>
      </c>
      <c r="L90" s="11">
        <f>+1</f>
        <v>1</v>
      </c>
      <c r="M90" s="11">
        <f t="shared" ref="M90:M91" si="86">+0</f>
        <v>0</v>
      </c>
      <c r="N90" s="11">
        <f>+1</f>
        <v>1</v>
      </c>
      <c r="O90" s="11" t="s">
        <v>76</v>
      </c>
      <c r="P90" s="13">
        <v>1.0</v>
      </c>
      <c r="Q90" s="11" t="s">
        <v>426</v>
      </c>
      <c r="R90" s="11"/>
      <c r="S90" s="11"/>
      <c r="T90" s="11"/>
      <c r="U90" s="11"/>
      <c r="V90" s="11"/>
      <c r="W90" s="11"/>
      <c r="X90" s="11"/>
      <c r="Y90" s="11"/>
      <c r="Z90" s="11"/>
      <c r="AA90" s="11"/>
      <c r="AB90" s="11"/>
    </row>
    <row r="91" ht="15.75" customHeight="1">
      <c r="A91" s="11" t="s">
        <v>427</v>
      </c>
      <c r="B91" s="12">
        <v>0.25</v>
      </c>
      <c r="C91" s="11" t="s">
        <v>30</v>
      </c>
      <c r="D91" s="11" t="s">
        <v>428</v>
      </c>
      <c r="E91" s="11">
        <v>12.0</v>
      </c>
      <c r="F91" s="11">
        <v>10.0</v>
      </c>
      <c r="G91" s="11" t="s">
        <v>429</v>
      </c>
      <c r="H91" s="11" t="s">
        <v>33</v>
      </c>
      <c r="I91" s="11">
        <f t="shared" ref="I91:J91" si="85">+2</f>
        <v>2</v>
      </c>
      <c r="J91" s="11">
        <f t="shared" si="85"/>
        <v>2</v>
      </c>
      <c r="K91" s="11">
        <f>+1</f>
        <v>1</v>
      </c>
      <c r="L91" s="11">
        <v>-3.0</v>
      </c>
      <c r="M91" s="11">
        <f t="shared" si="86"/>
        <v>0</v>
      </c>
      <c r="N91" s="11">
        <v>-3.0</v>
      </c>
      <c r="O91" s="11" t="s">
        <v>76</v>
      </c>
      <c r="P91" s="13">
        <v>2.0</v>
      </c>
      <c r="Q91" s="11" t="s">
        <v>430</v>
      </c>
      <c r="R91" s="11"/>
      <c r="S91" s="11"/>
      <c r="T91" s="11"/>
      <c r="U91" s="11"/>
      <c r="V91" s="11"/>
      <c r="W91" s="11"/>
      <c r="X91" s="11"/>
      <c r="Y91" s="11"/>
      <c r="Z91" s="11"/>
      <c r="AA91" s="11"/>
      <c r="AB91" s="11"/>
    </row>
    <row r="92" ht="15.75" customHeight="1">
      <c r="A92" s="11" t="s">
        <v>431</v>
      </c>
      <c r="B92" s="12">
        <v>2.0</v>
      </c>
      <c r="C92" s="11" t="s">
        <v>30</v>
      </c>
      <c r="D92" s="11" t="s">
        <v>432</v>
      </c>
      <c r="E92" s="11">
        <v>16.0</v>
      </c>
      <c r="F92" s="11">
        <v>20.0</v>
      </c>
      <c r="G92" s="11" t="s">
        <v>433</v>
      </c>
      <c r="H92" s="11" t="s">
        <v>55</v>
      </c>
      <c r="I92" s="11">
        <f>+3</f>
        <v>3</v>
      </c>
      <c r="J92" s="11">
        <f>+1</f>
        <v>1</v>
      </c>
      <c r="K92" s="11">
        <f>+2</f>
        <v>2</v>
      </c>
      <c r="L92" s="11">
        <f>+0</f>
        <v>0</v>
      </c>
      <c r="M92" s="11">
        <f t="shared" ref="M92:M93" si="87">+1</f>
        <v>1</v>
      </c>
      <c r="N92" s="11">
        <v>-1.0</v>
      </c>
      <c r="O92" s="11" t="s">
        <v>13</v>
      </c>
      <c r="P92" s="13">
        <v>4.0</v>
      </c>
      <c r="Q92" s="11" t="s">
        <v>312</v>
      </c>
      <c r="R92" s="11"/>
      <c r="S92" s="11"/>
      <c r="T92" s="11"/>
      <c r="U92" s="11"/>
      <c r="V92" s="11"/>
      <c r="W92" s="11"/>
      <c r="X92" s="11"/>
      <c r="Y92" s="11"/>
      <c r="Z92" s="11"/>
      <c r="AA92" s="11"/>
      <c r="AB92" s="11"/>
    </row>
    <row r="93" ht="15.75" customHeight="1">
      <c r="A93" s="11" t="s">
        <v>434</v>
      </c>
      <c r="B93" s="12">
        <v>2.0</v>
      </c>
      <c r="C93" s="11" t="s">
        <v>30</v>
      </c>
      <c r="D93" s="11" t="s">
        <v>435</v>
      </c>
      <c r="E93" s="11">
        <v>11.0</v>
      </c>
      <c r="F93" s="11">
        <v>24.0</v>
      </c>
      <c r="G93" s="11" t="s">
        <v>436</v>
      </c>
      <c r="H93" s="11" t="s">
        <v>437</v>
      </c>
      <c r="I93" s="11">
        <f>+2</f>
        <v>2</v>
      </c>
      <c r="J93" s="11">
        <v>-4.0</v>
      </c>
      <c r="K93" s="11">
        <f>+1</f>
        <v>1</v>
      </c>
      <c r="L93" s="11">
        <v>-4.0</v>
      </c>
      <c r="M93" s="11">
        <f t="shared" si="87"/>
        <v>1</v>
      </c>
      <c r="N93" s="11">
        <v>-4.0</v>
      </c>
      <c r="O93" s="11" t="s">
        <v>76</v>
      </c>
      <c r="P93" s="13">
        <v>5.0</v>
      </c>
      <c r="Q93" s="11" t="s">
        <v>438</v>
      </c>
      <c r="R93" s="11" t="s">
        <v>439</v>
      </c>
      <c r="S93" s="11" t="s">
        <v>440</v>
      </c>
      <c r="T93" s="11"/>
      <c r="U93" s="11"/>
      <c r="V93" s="11"/>
      <c r="W93" s="11"/>
      <c r="X93" s="11"/>
      <c r="Y93" s="11"/>
      <c r="Z93" s="11"/>
      <c r="AA93" s="11"/>
      <c r="AB93" s="11"/>
    </row>
    <row r="94" ht="15.75" customHeight="1">
      <c r="A94" s="11" t="s">
        <v>441</v>
      </c>
      <c r="B94" s="12">
        <v>2.0</v>
      </c>
      <c r="C94" s="11" t="s">
        <v>30</v>
      </c>
      <c r="D94" s="11" t="s">
        <v>442</v>
      </c>
      <c r="E94" s="11">
        <v>11.0</v>
      </c>
      <c r="F94" s="11">
        <v>20.0</v>
      </c>
      <c r="G94" s="11" t="s">
        <v>443</v>
      </c>
      <c r="H94" s="11" t="s">
        <v>40</v>
      </c>
      <c r="I94" s="11">
        <f>+3</f>
        <v>3</v>
      </c>
      <c r="J94" s="11">
        <f>+1</f>
        <v>1</v>
      </c>
      <c r="K94" s="11">
        <f>+2</f>
        <v>2</v>
      </c>
      <c r="L94" s="11">
        <f t="shared" ref="L94:M94" si="88">+0</f>
        <v>0</v>
      </c>
      <c r="M94" s="11">
        <f t="shared" si="88"/>
        <v>0</v>
      </c>
      <c r="N94" s="11">
        <f>+2</f>
        <v>2</v>
      </c>
      <c r="O94" s="11" t="s">
        <v>13</v>
      </c>
      <c r="P94" s="13">
        <v>4.0</v>
      </c>
      <c r="Q94" s="11" t="s">
        <v>444</v>
      </c>
      <c r="R94" s="11" t="s">
        <v>445</v>
      </c>
      <c r="S94" s="11" t="s">
        <v>446</v>
      </c>
      <c r="T94" s="11"/>
      <c r="U94" s="11"/>
      <c r="V94" s="11"/>
      <c r="W94" s="11"/>
      <c r="X94" s="11"/>
      <c r="Y94" s="11"/>
      <c r="Z94" s="11"/>
      <c r="AA94" s="11"/>
      <c r="AB94" s="11"/>
    </row>
    <row r="95" ht="15.75" customHeight="1">
      <c r="A95" s="11" t="s">
        <v>447</v>
      </c>
      <c r="B95" s="12">
        <v>4.0</v>
      </c>
      <c r="C95" s="11" t="s">
        <v>30</v>
      </c>
      <c r="D95" s="11" t="s">
        <v>448</v>
      </c>
      <c r="E95" s="11">
        <v>13.0</v>
      </c>
      <c r="F95" s="11">
        <v>27.0</v>
      </c>
      <c r="G95" s="11" t="s">
        <v>449</v>
      </c>
      <c r="H95" s="11" t="s">
        <v>55</v>
      </c>
      <c r="I95" s="11">
        <v>-2.0</v>
      </c>
      <c r="J95" s="11">
        <f>+3</f>
        <v>3</v>
      </c>
      <c r="K95" s="11">
        <f t="shared" ref="K95:M95" si="89">+0</f>
        <v>0</v>
      </c>
      <c r="L95" s="11">
        <f t="shared" si="89"/>
        <v>0</v>
      </c>
      <c r="M95" s="11">
        <f t="shared" si="89"/>
        <v>0</v>
      </c>
      <c r="N95" s="11">
        <f>+4</f>
        <v>4</v>
      </c>
      <c r="O95" s="11" t="s">
        <v>13</v>
      </c>
      <c r="P95" s="13">
        <v>6.0</v>
      </c>
      <c r="Q95" s="11" t="s">
        <v>450</v>
      </c>
      <c r="R95" s="11" t="s">
        <v>451</v>
      </c>
      <c r="S95" s="11" t="s">
        <v>452</v>
      </c>
      <c r="T95" s="11"/>
      <c r="U95" s="11"/>
      <c r="V95" s="11"/>
      <c r="W95" s="11"/>
      <c r="X95" s="11"/>
      <c r="Y95" s="11"/>
      <c r="Z95" s="11"/>
      <c r="AA95" s="11"/>
      <c r="AB95" s="11"/>
    </row>
    <row r="96" ht="15.75" customHeight="1">
      <c r="A96" s="11" t="s">
        <v>453</v>
      </c>
      <c r="B96" s="12">
        <v>1.0</v>
      </c>
      <c r="C96" s="11" t="s">
        <v>30</v>
      </c>
      <c r="D96" s="11" t="s">
        <v>454</v>
      </c>
      <c r="E96" s="11">
        <v>11.0</v>
      </c>
      <c r="F96" s="11">
        <v>11.0</v>
      </c>
      <c r="G96" s="11" t="s">
        <v>455</v>
      </c>
      <c r="H96" s="11" t="s">
        <v>40</v>
      </c>
      <c r="I96" s="11">
        <f>+2</f>
        <v>2</v>
      </c>
      <c r="J96" s="11">
        <f>+1</f>
        <v>1</v>
      </c>
      <c r="K96" s="11">
        <f>+2</f>
        <v>2</v>
      </c>
      <c r="L96" s="11">
        <v>-3.0</v>
      </c>
      <c r="M96" s="11">
        <v>-1.0</v>
      </c>
      <c r="N96" s="11">
        <f>+0</f>
        <v>0</v>
      </c>
      <c r="O96" s="11" t="s">
        <v>13</v>
      </c>
      <c r="P96" s="13">
        <v>2.0</v>
      </c>
      <c r="Q96" s="11" t="s">
        <v>444</v>
      </c>
      <c r="R96" s="11" t="s">
        <v>446</v>
      </c>
      <c r="S96" s="11"/>
      <c r="T96" s="11"/>
      <c r="U96" s="11"/>
      <c r="V96" s="11"/>
      <c r="W96" s="11"/>
      <c r="X96" s="11"/>
      <c r="Y96" s="11"/>
      <c r="Z96" s="11"/>
      <c r="AA96" s="11"/>
      <c r="AB96" s="11"/>
    </row>
    <row r="97" ht="15.75" customHeight="1">
      <c r="A97" s="11" t="s">
        <v>456</v>
      </c>
      <c r="B97" s="12">
        <v>9.0</v>
      </c>
      <c r="C97" s="11" t="s">
        <v>30</v>
      </c>
      <c r="D97" s="11" t="s">
        <v>457</v>
      </c>
      <c r="E97" s="11">
        <v>15.0</v>
      </c>
      <c r="F97" s="11">
        <v>48.0</v>
      </c>
      <c r="G97" s="11" t="s">
        <v>458</v>
      </c>
      <c r="H97" s="11" t="s">
        <v>167</v>
      </c>
      <c r="I97" s="11">
        <f>+5</f>
        <v>5</v>
      </c>
      <c r="J97" s="11">
        <f>+4</f>
        <v>4</v>
      </c>
      <c r="K97" s="11">
        <f t="shared" ref="K97:N97" si="90">+3</f>
        <v>3</v>
      </c>
      <c r="L97" s="11">
        <f t="shared" si="90"/>
        <v>3</v>
      </c>
      <c r="M97" s="11">
        <f t="shared" si="90"/>
        <v>3</v>
      </c>
      <c r="N97" s="11">
        <f t="shared" si="90"/>
        <v>3</v>
      </c>
      <c r="O97" s="11" t="s">
        <v>76</v>
      </c>
      <c r="P97" s="13">
        <v>10.0</v>
      </c>
      <c r="Q97" s="11" t="s">
        <v>459</v>
      </c>
      <c r="R97" s="11"/>
      <c r="S97" s="11"/>
      <c r="T97" s="11"/>
      <c r="U97" s="11"/>
      <c r="V97" s="11"/>
      <c r="W97" s="11"/>
      <c r="X97" s="11"/>
      <c r="Y97" s="11"/>
      <c r="Z97" s="11"/>
      <c r="AA97" s="11"/>
      <c r="AB97" s="11"/>
    </row>
    <row r="98" ht="15.75" customHeight="1">
      <c r="A98" s="11" t="s">
        <v>460</v>
      </c>
      <c r="B98" s="12">
        <v>9.0</v>
      </c>
      <c r="C98" s="11" t="s">
        <v>30</v>
      </c>
      <c r="D98" s="11" t="s">
        <v>461</v>
      </c>
      <c r="E98" s="11">
        <v>15.0</v>
      </c>
      <c r="F98" s="11">
        <v>44.0</v>
      </c>
      <c r="G98" s="11" t="s">
        <v>462</v>
      </c>
      <c r="H98" s="11" t="s">
        <v>167</v>
      </c>
      <c r="I98" s="11">
        <f>+6</f>
        <v>6</v>
      </c>
      <c r="J98" s="11">
        <f>+0</f>
        <v>0</v>
      </c>
      <c r="K98" s="11">
        <f t="shared" ref="K98:K99" si="91">+4</f>
        <v>4</v>
      </c>
      <c r="L98" s="11">
        <f>+1</f>
        <v>1</v>
      </c>
      <c r="M98" s="11">
        <f>+2</f>
        <v>2</v>
      </c>
      <c r="N98" s="11">
        <f>+1</f>
        <v>1</v>
      </c>
      <c r="O98" s="11" t="s">
        <v>13</v>
      </c>
      <c r="P98" s="13">
        <v>9.0</v>
      </c>
      <c r="Q98" s="11" t="s">
        <v>328</v>
      </c>
      <c r="R98" s="11"/>
      <c r="S98" s="11"/>
      <c r="T98" s="11"/>
      <c r="U98" s="11"/>
      <c r="V98" s="11"/>
      <c r="W98" s="11"/>
      <c r="X98" s="11"/>
      <c r="Y98" s="11"/>
      <c r="Z98" s="11"/>
      <c r="AA98" s="11"/>
      <c r="AB98" s="11"/>
    </row>
    <row r="99" ht="15.75" customHeight="1">
      <c r="A99" s="11" t="s">
        <v>463</v>
      </c>
      <c r="B99" s="12">
        <v>8.0</v>
      </c>
      <c r="C99" s="11" t="s">
        <v>30</v>
      </c>
      <c r="D99" s="11" t="s">
        <v>464</v>
      </c>
      <c r="E99" s="11">
        <v>14.0</v>
      </c>
      <c r="F99" s="11">
        <v>44.0</v>
      </c>
      <c r="G99" s="11" t="s">
        <v>465</v>
      </c>
      <c r="H99" s="11" t="s">
        <v>167</v>
      </c>
      <c r="I99" s="11">
        <f>+5</f>
        <v>5</v>
      </c>
      <c r="J99" s="11">
        <f t="shared" ref="J99:J100" si="92">+1</f>
        <v>1</v>
      </c>
      <c r="K99" s="11">
        <f t="shared" si="91"/>
        <v>4</v>
      </c>
      <c r="L99" s="11">
        <f>+2</f>
        <v>2</v>
      </c>
      <c r="M99" s="11">
        <f>+3</f>
        <v>3</v>
      </c>
      <c r="N99" s="11">
        <f>+2</f>
        <v>2</v>
      </c>
      <c r="O99" s="11" t="s">
        <v>13</v>
      </c>
      <c r="P99" s="13">
        <v>9.0</v>
      </c>
      <c r="Q99" s="11" t="s">
        <v>338</v>
      </c>
      <c r="R99" s="11"/>
      <c r="S99" s="11"/>
      <c r="T99" s="11"/>
      <c r="U99" s="11"/>
      <c r="V99" s="11"/>
      <c r="W99" s="11"/>
      <c r="X99" s="11"/>
      <c r="Y99" s="11"/>
      <c r="Z99" s="11"/>
      <c r="AA99" s="11"/>
      <c r="AB99" s="11"/>
    </row>
    <row r="100" ht="15.75" customHeight="1">
      <c r="A100" s="11" t="s">
        <v>466</v>
      </c>
      <c r="B100" s="12"/>
      <c r="C100" s="11" t="s">
        <v>30</v>
      </c>
      <c r="D100" s="11" t="s">
        <v>467</v>
      </c>
      <c r="E100" s="11">
        <v>12.0</v>
      </c>
      <c r="F100" s="11">
        <v>39.0</v>
      </c>
      <c r="G100" s="11" t="s">
        <v>468</v>
      </c>
      <c r="H100" s="11" t="s">
        <v>469</v>
      </c>
      <c r="I100" s="11">
        <f t="shared" ref="I100:I102" si="93">+4</f>
        <v>4</v>
      </c>
      <c r="J100" s="11">
        <f t="shared" si="92"/>
        <v>1</v>
      </c>
      <c r="K100" s="11">
        <f t="shared" ref="K100:K101" si="94">+3</f>
        <v>3</v>
      </c>
      <c r="L100" s="11">
        <v>-2.0</v>
      </c>
      <c r="M100" s="11">
        <f>+0</f>
        <v>0</v>
      </c>
      <c r="N100" s="11">
        <v>-2.0</v>
      </c>
      <c r="O100" s="11" t="s">
        <v>13</v>
      </c>
      <c r="P100" s="13">
        <v>8.0</v>
      </c>
      <c r="Q100" s="11"/>
      <c r="R100" s="11"/>
      <c r="S100" s="11"/>
      <c r="T100" s="11"/>
      <c r="U100" s="11"/>
      <c r="V100" s="11"/>
      <c r="W100" s="11"/>
      <c r="X100" s="11"/>
      <c r="Y100" s="11"/>
      <c r="Z100" s="11"/>
      <c r="AA100" s="11"/>
      <c r="AB100" s="11"/>
    </row>
    <row r="101" ht="15.75" customHeight="1">
      <c r="A101" s="11" t="s">
        <v>470</v>
      </c>
      <c r="B101" s="12">
        <v>5.0</v>
      </c>
      <c r="C101" s="11" t="s">
        <v>30</v>
      </c>
      <c r="D101" s="11" t="s">
        <v>471</v>
      </c>
      <c r="E101" s="11">
        <v>11.0</v>
      </c>
      <c r="F101" s="11">
        <v>34.0</v>
      </c>
      <c r="G101" s="11" t="s">
        <v>472</v>
      </c>
      <c r="H101" s="11" t="s">
        <v>167</v>
      </c>
      <c r="I101" s="11">
        <f t="shared" si="93"/>
        <v>4</v>
      </c>
      <c r="J101" s="11">
        <f>+0</f>
        <v>0</v>
      </c>
      <c r="K101" s="11">
        <f t="shared" si="94"/>
        <v>3</v>
      </c>
      <c r="L101" s="11">
        <v>-2.0</v>
      </c>
      <c r="M101" s="11">
        <v>-2.0</v>
      </c>
      <c r="N101" s="11">
        <v>-2.0</v>
      </c>
      <c r="O101" s="11" t="s">
        <v>13</v>
      </c>
      <c r="P101" s="13">
        <v>7.0</v>
      </c>
      <c r="Q101" s="11"/>
      <c r="R101" s="11"/>
      <c r="S101" s="11"/>
      <c r="T101" s="11"/>
      <c r="U101" s="11"/>
      <c r="V101" s="11"/>
      <c r="W101" s="11"/>
      <c r="X101" s="11"/>
      <c r="Y101" s="11"/>
      <c r="Z101" s="11"/>
      <c r="AA101" s="11"/>
      <c r="AB101" s="11"/>
    </row>
    <row r="102" ht="15.75" customHeight="1">
      <c r="A102" s="11" t="s">
        <v>473</v>
      </c>
      <c r="B102" s="12">
        <v>7.0</v>
      </c>
      <c r="C102" s="11" t="s">
        <v>30</v>
      </c>
      <c r="D102" s="11" t="s">
        <v>474</v>
      </c>
      <c r="E102" s="11">
        <v>17.0</v>
      </c>
      <c r="F102" s="11">
        <v>40.0</v>
      </c>
      <c r="G102" s="11" t="s">
        <v>468</v>
      </c>
      <c r="H102" s="11" t="s">
        <v>167</v>
      </c>
      <c r="I102" s="11">
        <f t="shared" si="93"/>
        <v>4</v>
      </c>
      <c r="J102" s="11">
        <f t="shared" ref="J102:J103" si="96">+2</f>
        <v>2</v>
      </c>
      <c r="K102" s="11">
        <f t="shared" ref="K102:K103" si="97">+4</f>
        <v>4</v>
      </c>
      <c r="L102" s="11">
        <f t="shared" ref="L102:M102" si="95">+1</f>
        <v>1</v>
      </c>
      <c r="M102" s="11">
        <f t="shared" si="95"/>
        <v>1</v>
      </c>
      <c r="N102" s="11">
        <v>-1.0</v>
      </c>
      <c r="O102" s="11" t="s">
        <v>76</v>
      </c>
      <c r="P102" s="13">
        <v>8.0</v>
      </c>
      <c r="Q102" s="11" t="s">
        <v>475</v>
      </c>
      <c r="R102" s="11"/>
      <c r="S102" s="11"/>
      <c r="T102" s="11"/>
      <c r="U102" s="11"/>
      <c r="V102" s="11"/>
      <c r="W102" s="11"/>
      <c r="X102" s="11"/>
      <c r="Y102" s="11"/>
      <c r="Z102" s="11"/>
      <c r="AA102" s="11"/>
      <c r="AB102" s="11"/>
    </row>
    <row r="103" ht="15.75" customHeight="1">
      <c r="A103" s="11" t="s">
        <v>476</v>
      </c>
      <c r="B103" s="12" t="s">
        <v>44</v>
      </c>
      <c r="C103" s="11" t="s">
        <v>30</v>
      </c>
      <c r="D103" s="11" t="s">
        <v>477</v>
      </c>
      <c r="E103" s="11">
        <v>15.0</v>
      </c>
      <c r="F103" s="11">
        <v>58.0</v>
      </c>
      <c r="G103" s="11" t="s">
        <v>478</v>
      </c>
      <c r="H103" s="11" t="s">
        <v>293</v>
      </c>
      <c r="I103" s="11">
        <f>+6</f>
        <v>6</v>
      </c>
      <c r="J103" s="11">
        <f t="shared" si="96"/>
        <v>2</v>
      </c>
      <c r="K103" s="11">
        <f t="shared" si="97"/>
        <v>4</v>
      </c>
      <c r="L103" s="11">
        <f>+3</f>
        <v>3</v>
      </c>
      <c r="M103" s="11">
        <f t="shared" ref="M103:N103" si="98">+4</f>
        <v>4</v>
      </c>
      <c r="N103" s="11">
        <f t="shared" si="98"/>
        <v>4</v>
      </c>
      <c r="O103" s="11" t="s">
        <v>41</v>
      </c>
      <c r="P103" s="13">
        <v>12.0</v>
      </c>
      <c r="Q103" s="11" t="s">
        <v>322</v>
      </c>
      <c r="R103" s="11" t="s">
        <v>479</v>
      </c>
      <c r="S103" s="11"/>
      <c r="T103" s="11"/>
      <c r="U103" s="11"/>
      <c r="V103" s="11"/>
      <c r="W103" s="11"/>
      <c r="X103" s="11"/>
      <c r="Y103" s="11"/>
      <c r="Z103" s="11"/>
      <c r="AA103" s="11"/>
      <c r="AB103" s="11"/>
    </row>
    <row r="104" ht="15.75" customHeight="1">
      <c r="A104" s="11" t="s">
        <v>480</v>
      </c>
      <c r="B104" s="12">
        <v>2.0</v>
      </c>
      <c r="C104" s="11" t="s">
        <v>30</v>
      </c>
      <c r="D104" s="11" t="s">
        <v>481</v>
      </c>
      <c r="E104" s="11">
        <v>8.0</v>
      </c>
      <c r="F104" s="11">
        <v>21.0</v>
      </c>
      <c r="G104" s="11" t="s">
        <v>482</v>
      </c>
      <c r="H104" s="11" t="s">
        <v>483</v>
      </c>
      <c r="I104" s="11">
        <f t="shared" ref="I104:I105" si="99">+2</f>
        <v>2</v>
      </c>
      <c r="J104" s="11">
        <v>-2.0</v>
      </c>
      <c r="K104" s="11">
        <f>+3</f>
        <v>3</v>
      </c>
      <c r="L104" s="11">
        <v>-3.0</v>
      </c>
      <c r="M104" s="11">
        <f>+0</f>
        <v>0</v>
      </c>
      <c r="N104" s="11">
        <v>-3.0</v>
      </c>
      <c r="O104" s="11" t="s">
        <v>76</v>
      </c>
      <c r="P104" s="13">
        <v>4.0</v>
      </c>
      <c r="Q104" s="11" t="s">
        <v>484</v>
      </c>
      <c r="R104" s="11" t="s">
        <v>485</v>
      </c>
      <c r="S104" s="11"/>
      <c r="T104" s="11"/>
      <c r="U104" s="11"/>
      <c r="V104" s="11"/>
      <c r="W104" s="11"/>
      <c r="X104" s="11"/>
      <c r="Y104" s="11"/>
      <c r="Z104" s="11"/>
      <c r="AA104" s="11"/>
      <c r="AB104" s="11"/>
    </row>
    <row r="105" ht="15.75" customHeight="1">
      <c r="A105" s="11" t="s">
        <v>486</v>
      </c>
      <c r="B105" s="12">
        <v>5.0</v>
      </c>
      <c r="C105" s="11" t="s">
        <v>30</v>
      </c>
      <c r="D105" s="11" t="s">
        <v>487</v>
      </c>
      <c r="E105" s="11" t="s">
        <v>488</v>
      </c>
      <c r="F105" s="11">
        <v>15.0</v>
      </c>
      <c r="G105" s="11" t="s">
        <v>489</v>
      </c>
      <c r="H105" s="14" t="s">
        <v>75</v>
      </c>
      <c r="I105" s="11">
        <f t="shared" si="99"/>
        <v>2</v>
      </c>
      <c r="J105" s="11">
        <f>+1</f>
        <v>1</v>
      </c>
      <c r="K105" s="11">
        <f>+2</f>
        <v>2</v>
      </c>
      <c r="L105" s="11">
        <f t="shared" ref="L105:M105" si="100">+0</f>
        <v>0</v>
      </c>
      <c r="M105" s="11">
        <f t="shared" si="100"/>
        <v>0</v>
      </c>
      <c r="N105" s="11">
        <f>+1</f>
        <v>1</v>
      </c>
      <c r="O105" s="11" t="s">
        <v>76</v>
      </c>
      <c r="P105" s="13">
        <v>3.0</v>
      </c>
      <c r="Q105" s="11"/>
      <c r="R105" s="11"/>
      <c r="S105" s="11"/>
      <c r="T105" s="11"/>
      <c r="U105" s="11"/>
      <c r="V105" s="11"/>
      <c r="W105" s="11"/>
      <c r="X105" s="11"/>
      <c r="Y105" s="11"/>
      <c r="Z105" s="11"/>
      <c r="AA105" s="11"/>
      <c r="AB105" s="11"/>
    </row>
    <row r="106" ht="15.75" customHeight="1">
      <c r="A106" s="11" t="s">
        <v>490</v>
      </c>
      <c r="B106" s="12">
        <v>0.5</v>
      </c>
      <c r="C106" s="11" t="s">
        <v>30</v>
      </c>
      <c r="D106" s="11" t="s">
        <v>491</v>
      </c>
      <c r="E106" s="11" t="s">
        <v>134</v>
      </c>
      <c r="F106" s="11">
        <v>10.0</v>
      </c>
      <c r="G106" s="11" t="s">
        <v>492</v>
      </c>
      <c r="H106" s="11" t="s">
        <v>40</v>
      </c>
      <c r="I106" s="11">
        <f t="shared" ref="I106:K106" si="101">+1</f>
        <v>1</v>
      </c>
      <c r="J106" s="11">
        <f t="shared" si="101"/>
        <v>1</v>
      </c>
      <c r="K106" s="11">
        <f t="shared" si="101"/>
        <v>1</v>
      </c>
      <c r="L106" s="11">
        <v>-1.0</v>
      </c>
      <c r="M106" s="11">
        <f>+0</f>
        <v>0</v>
      </c>
      <c r="N106" s="11">
        <v>-1.0</v>
      </c>
      <c r="O106" s="11" t="s">
        <v>13</v>
      </c>
      <c r="P106" s="13">
        <v>2.0</v>
      </c>
      <c r="Q106" s="11" t="s">
        <v>110</v>
      </c>
      <c r="R106" s="11"/>
      <c r="S106" s="11"/>
      <c r="T106" s="11"/>
      <c r="U106" s="11"/>
      <c r="V106" s="11"/>
      <c r="W106" s="11"/>
      <c r="X106" s="11"/>
      <c r="Y106" s="11"/>
      <c r="Z106" s="11"/>
      <c r="AA106" s="11"/>
      <c r="AB106" s="11"/>
    </row>
    <row r="107" ht="15.75" customHeight="1">
      <c r="A107" s="11" t="s">
        <v>493</v>
      </c>
      <c r="B107" s="12">
        <v>0.5</v>
      </c>
      <c r="C107" s="11" t="s">
        <v>30</v>
      </c>
      <c r="D107" s="11" t="s">
        <v>494</v>
      </c>
      <c r="E107" s="11" t="s">
        <v>495</v>
      </c>
      <c r="F107" s="11">
        <v>14.0</v>
      </c>
      <c r="G107" s="11" t="s">
        <v>496</v>
      </c>
      <c r="H107" s="11" t="s">
        <v>40</v>
      </c>
      <c r="I107" s="11">
        <f>+2</f>
        <v>2</v>
      </c>
      <c r="J107" s="11">
        <f t="shared" ref="J107:N107" si="102">+1</f>
        <v>1</v>
      </c>
      <c r="K107" s="11">
        <f t="shared" si="102"/>
        <v>1</v>
      </c>
      <c r="L107" s="11">
        <f t="shared" si="102"/>
        <v>1</v>
      </c>
      <c r="M107" s="11">
        <f t="shared" si="102"/>
        <v>1</v>
      </c>
      <c r="N107" s="11">
        <f t="shared" si="102"/>
        <v>1</v>
      </c>
      <c r="O107" s="11" t="s">
        <v>41</v>
      </c>
      <c r="P107" s="13">
        <v>3.0</v>
      </c>
      <c r="Q107" s="11" t="s">
        <v>497</v>
      </c>
      <c r="R107" s="11"/>
      <c r="S107" s="11"/>
      <c r="T107" s="11"/>
      <c r="U107" s="11"/>
      <c r="V107" s="11"/>
      <c r="W107" s="11"/>
      <c r="X107" s="11"/>
      <c r="Y107" s="11"/>
      <c r="Z107" s="11"/>
      <c r="AA107" s="11"/>
      <c r="AB107" s="11"/>
    </row>
    <row r="108" ht="15.75" customHeight="1">
      <c r="A108" s="11" t="s">
        <v>498</v>
      </c>
      <c r="B108" s="12">
        <v>0.25</v>
      </c>
      <c r="C108" s="11" t="s">
        <v>30</v>
      </c>
      <c r="D108" s="11" t="s">
        <v>499</v>
      </c>
      <c r="E108" s="11">
        <v>11.0</v>
      </c>
      <c r="F108" s="11">
        <v>5.0</v>
      </c>
      <c r="G108" s="11" t="s">
        <v>500</v>
      </c>
      <c r="H108" s="11" t="s">
        <v>40</v>
      </c>
      <c r="I108" s="11">
        <f>+0</f>
        <v>0</v>
      </c>
      <c r="J108" s="11">
        <f t="shared" ref="J108:K108" si="103">+1</f>
        <v>1</v>
      </c>
      <c r="K108" s="11">
        <f t="shared" si="103"/>
        <v>1</v>
      </c>
      <c r="L108" s="11">
        <v>-1.0</v>
      </c>
      <c r="M108" s="11">
        <v>-1.0</v>
      </c>
      <c r="N108" s="11">
        <v>-2.0</v>
      </c>
      <c r="O108" s="11" t="s">
        <v>13</v>
      </c>
      <c r="P108" s="13">
        <v>1.0</v>
      </c>
      <c r="Q108" s="11" t="s">
        <v>501</v>
      </c>
      <c r="R108" s="11"/>
      <c r="S108" s="11"/>
      <c r="T108" s="11"/>
      <c r="U108" s="11"/>
      <c r="V108" s="11"/>
      <c r="W108" s="11"/>
      <c r="X108" s="11"/>
      <c r="Y108" s="11"/>
      <c r="Z108" s="11"/>
      <c r="AA108" s="11"/>
      <c r="AB108" s="11"/>
    </row>
    <row r="109" ht="15.75" customHeight="1">
      <c r="A109" s="11" t="s">
        <v>502</v>
      </c>
      <c r="B109" s="12">
        <v>1.0</v>
      </c>
      <c r="C109" s="11" t="s">
        <v>30</v>
      </c>
      <c r="D109" s="11" t="s">
        <v>503</v>
      </c>
      <c r="E109" s="11">
        <v>14.0</v>
      </c>
      <c r="F109" s="11">
        <v>20.0</v>
      </c>
      <c r="G109" s="11" t="s">
        <v>504</v>
      </c>
      <c r="H109" s="11" t="s">
        <v>40</v>
      </c>
      <c r="I109" s="11">
        <f>+2</f>
        <v>2</v>
      </c>
      <c r="J109" s="11">
        <f t="shared" ref="J109:J110" si="104">+1</f>
        <v>1</v>
      </c>
      <c r="K109" s="11">
        <f>+2</f>
        <v>2</v>
      </c>
      <c r="L109" s="11">
        <v>-1.0</v>
      </c>
      <c r="M109" s="11">
        <f>+0</f>
        <v>0</v>
      </c>
      <c r="N109" s="11">
        <f t="shared" ref="N109:N110" si="105">+1</f>
        <v>1</v>
      </c>
      <c r="O109" s="11" t="s">
        <v>13</v>
      </c>
      <c r="P109" s="13">
        <v>4.0</v>
      </c>
      <c r="Q109" s="11" t="s">
        <v>501</v>
      </c>
      <c r="R109" s="11"/>
      <c r="S109" s="11"/>
      <c r="T109" s="11"/>
      <c r="U109" s="11"/>
      <c r="V109" s="11"/>
      <c r="W109" s="11"/>
      <c r="X109" s="11"/>
      <c r="Y109" s="11"/>
      <c r="Z109" s="11"/>
      <c r="AA109" s="11"/>
      <c r="AB109" s="11"/>
    </row>
    <row r="110" ht="15.75" customHeight="1">
      <c r="A110" s="11" t="s">
        <v>505</v>
      </c>
      <c r="B110" s="12">
        <v>2.0</v>
      </c>
      <c r="C110" s="11" t="s">
        <v>30</v>
      </c>
      <c r="D110" s="11" t="s">
        <v>506</v>
      </c>
      <c r="E110" s="11">
        <v>12.0</v>
      </c>
      <c r="F110" s="11">
        <v>19.0</v>
      </c>
      <c r="G110" s="11" t="s">
        <v>507</v>
      </c>
      <c r="H110" s="11" t="s">
        <v>40</v>
      </c>
      <c r="I110" s="11">
        <f>+0</f>
        <v>0</v>
      </c>
      <c r="J110" s="11">
        <f t="shared" si="104"/>
        <v>1</v>
      </c>
      <c r="K110" s="11">
        <f>+1</f>
        <v>1</v>
      </c>
      <c r="L110" s="11">
        <f>+0</f>
        <v>0</v>
      </c>
      <c r="M110" s="11">
        <f>+2</f>
        <v>2</v>
      </c>
      <c r="N110" s="11">
        <f t="shared" si="105"/>
        <v>1</v>
      </c>
      <c r="O110" s="11" t="s">
        <v>13</v>
      </c>
      <c r="P110" s="13">
        <v>4.0</v>
      </c>
      <c r="Q110" s="11" t="s">
        <v>501</v>
      </c>
      <c r="R110" s="11" t="s">
        <v>508</v>
      </c>
      <c r="S110" s="11" t="s">
        <v>509</v>
      </c>
      <c r="T110" s="11" t="s">
        <v>510</v>
      </c>
      <c r="U110" s="11"/>
      <c r="V110" s="11"/>
      <c r="W110" s="11"/>
      <c r="X110" s="11"/>
      <c r="Y110" s="11"/>
      <c r="Z110" s="11"/>
      <c r="AA110" s="11"/>
      <c r="AB110" s="11"/>
    </row>
    <row r="111" ht="15.75" customHeight="1">
      <c r="A111" s="11" t="s">
        <v>511</v>
      </c>
      <c r="B111" s="12">
        <v>9.0</v>
      </c>
      <c r="C111" s="11" t="s">
        <v>30</v>
      </c>
      <c r="D111" s="11" t="s">
        <v>512</v>
      </c>
      <c r="E111" s="11">
        <v>14.0</v>
      </c>
      <c r="F111" s="11">
        <v>40.0</v>
      </c>
      <c r="G111" s="11" t="s">
        <v>513</v>
      </c>
      <c r="H111" s="11" t="s">
        <v>40</v>
      </c>
      <c r="I111" s="11">
        <f t="shared" ref="I111:I112" si="106">+4</f>
        <v>4</v>
      </c>
      <c r="J111" s="11">
        <f>+0</f>
        <v>0</v>
      </c>
      <c r="K111" s="11">
        <f t="shared" ref="K111:K114" si="107">+4</f>
        <v>4</v>
      </c>
      <c r="L111" s="11">
        <v>-2.0</v>
      </c>
      <c r="M111" s="11">
        <f>+0</f>
        <v>0</v>
      </c>
      <c r="N111" s="11">
        <v>-2.0</v>
      </c>
      <c r="O111" s="11" t="s">
        <v>76</v>
      </c>
      <c r="P111" s="13">
        <v>8.0</v>
      </c>
      <c r="Q111" s="11" t="s">
        <v>514</v>
      </c>
      <c r="R111" s="11" t="s">
        <v>515</v>
      </c>
      <c r="S111" s="11"/>
      <c r="T111" s="11"/>
      <c r="U111" s="11"/>
      <c r="V111" s="11"/>
      <c r="W111" s="11"/>
      <c r="X111" s="11"/>
      <c r="Y111" s="11"/>
      <c r="Z111" s="11"/>
      <c r="AA111" s="11"/>
      <c r="AB111" s="11"/>
    </row>
    <row r="112" ht="15.75" customHeight="1">
      <c r="A112" s="11" t="s">
        <v>516</v>
      </c>
      <c r="B112" s="12">
        <v>5.0</v>
      </c>
      <c r="C112" s="11" t="s">
        <v>30</v>
      </c>
      <c r="D112" s="11" t="s">
        <v>517</v>
      </c>
      <c r="E112" s="11">
        <v>9.0</v>
      </c>
      <c r="F112" s="11">
        <v>35.0</v>
      </c>
      <c r="G112" s="11" t="s">
        <v>513</v>
      </c>
      <c r="H112" s="11" t="s">
        <v>40</v>
      </c>
      <c r="I112" s="11">
        <f t="shared" si="106"/>
        <v>4</v>
      </c>
      <c r="J112" s="11">
        <v>-1.0</v>
      </c>
      <c r="K112" s="11">
        <f t="shared" si="107"/>
        <v>4</v>
      </c>
      <c r="L112" s="11">
        <v>-1.0</v>
      </c>
      <c r="M112" s="11">
        <f>+1</f>
        <v>1</v>
      </c>
      <c r="N112" s="11">
        <v>-3.0</v>
      </c>
      <c r="O112" s="11" t="s">
        <v>76</v>
      </c>
      <c r="P112" s="13">
        <v>7.0</v>
      </c>
      <c r="Q112" s="11" t="s">
        <v>518</v>
      </c>
      <c r="R112" s="11" t="s">
        <v>519</v>
      </c>
      <c r="S112" s="11"/>
      <c r="T112" s="11"/>
      <c r="U112" s="11"/>
      <c r="V112" s="11"/>
      <c r="W112" s="11"/>
      <c r="X112" s="11"/>
      <c r="Y112" s="11"/>
      <c r="Z112" s="11"/>
      <c r="AA112" s="11"/>
      <c r="AB112" s="11"/>
    </row>
    <row r="113" ht="15.75" customHeight="1">
      <c r="A113" s="11" t="s">
        <v>520</v>
      </c>
      <c r="B113" s="12">
        <v>16.0</v>
      </c>
      <c r="C113" s="11" t="s">
        <v>30</v>
      </c>
      <c r="D113" s="11" t="s">
        <v>521</v>
      </c>
      <c r="E113" s="11">
        <v>19.0</v>
      </c>
      <c r="F113" s="11">
        <v>49.0</v>
      </c>
      <c r="G113" s="11" t="s">
        <v>522</v>
      </c>
      <c r="H113" s="11" t="s">
        <v>40</v>
      </c>
      <c r="I113" s="11">
        <f>+5</f>
        <v>5</v>
      </c>
      <c r="J113" s="11">
        <v>-1.0</v>
      </c>
      <c r="K113" s="11">
        <f t="shared" si="107"/>
        <v>4</v>
      </c>
      <c r="L113" s="11">
        <v>-2.0</v>
      </c>
      <c r="M113" s="11">
        <f t="shared" ref="M113:M114" si="108">+0</f>
        <v>0</v>
      </c>
      <c r="N113" s="11">
        <v>-2.0</v>
      </c>
      <c r="O113" s="11" t="s">
        <v>76</v>
      </c>
      <c r="P113" s="13">
        <v>10.0</v>
      </c>
      <c r="Q113" s="11" t="s">
        <v>523</v>
      </c>
      <c r="R113" s="11" t="s">
        <v>524</v>
      </c>
      <c r="S113" s="11"/>
      <c r="T113" s="11"/>
      <c r="U113" s="11"/>
      <c r="V113" s="11"/>
      <c r="W113" s="11"/>
      <c r="X113" s="11"/>
      <c r="Y113" s="11"/>
      <c r="Z113" s="11"/>
      <c r="AA113" s="11"/>
      <c r="AB113" s="11"/>
    </row>
    <row r="114" ht="15.75" customHeight="1">
      <c r="A114" s="11" t="s">
        <v>525</v>
      </c>
      <c r="B114" s="12">
        <v>10.0</v>
      </c>
      <c r="C114" s="11" t="s">
        <v>30</v>
      </c>
      <c r="D114" s="11" t="s">
        <v>526</v>
      </c>
      <c r="E114" s="11">
        <v>18.0</v>
      </c>
      <c r="F114" s="11">
        <v>40.0</v>
      </c>
      <c r="G114" s="11" t="s">
        <v>527</v>
      </c>
      <c r="H114" s="11" t="s">
        <v>40</v>
      </c>
      <c r="I114" s="11">
        <f t="shared" ref="I114:I116" si="109">+4</f>
        <v>4</v>
      </c>
      <c r="J114" s="11">
        <v>-1.0</v>
      </c>
      <c r="K114" s="11">
        <f t="shared" si="107"/>
        <v>4</v>
      </c>
      <c r="L114" s="11">
        <v>-2.0</v>
      </c>
      <c r="M114" s="11">
        <f t="shared" si="108"/>
        <v>0</v>
      </c>
      <c r="N114" s="11">
        <v>-2.0</v>
      </c>
      <c r="O114" s="11" t="s">
        <v>76</v>
      </c>
      <c r="P114" s="13">
        <v>8.0</v>
      </c>
      <c r="Q114" s="11" t="s">
        <v>528</v>
      </c>
      <c r="R114" s="11" t="s">
        <v>529</v>
      </c>
      <c r="S114" s="11"/>
      <c r="T114" s="11"/>
      <c r="U114" s="11"/>
      <c r="V114" s="11"/>
      <c r="W114" s="11"/>
      <c r="X114" s="11"/>
      <c r="Y114" s="11"/>
      <c r="Z114" s="11"/>
      <c r="AA114" s="11"/>
      <c r="AB114" s="11"/>
    </row>
    <row r="115" ht="15.75" customHeight="1">
      <c r="A115" s="11" t="s">
        <v>530</v>
      </c>
      <c r="B115" s="12">
        <v>5.0</v>
      </c>
      <c r="C115" s="11" t="s">
        <v>30</v>
      </c>
      <c r="D115" s="11" t="s">
        <v>531</v>
      </c>
      <c r="E115" s="11">
        <v>18.0</v>
      </c>
      <c r="F115" s="11">
        <v>33.0</v>
      </c>
      <c r="G115" s="11" t="s">
        <v>532</v>
      </c>
      <c r="H115" s="11" t="s">
        <v>167</v>
      </c>
      <c r="I115" s="11">
        <f t="shared" si="109"/>
        <v>4</v>
      </c>
      <c r="J115" s="11">
        <f>+0</f>
        <v>0</v>
      </c>
      <c r="K115" s="11">
        <f>+2</f>
        <v>2</v>
      </c>
      <c r="L115" s="11">
        <v>-3.0</v>
      </c>
      <c r="M115" s="11">
        <f t="shared" ref="M115:M116" si="111">+1</f>
        <v>1</v>
      </c>
      <c r="N115" s="11">
        <v>-3.0</v>
      </c>
      <c r="O115" s="11" t="s">
        <v>13</v>
      </c>
      <c r="P115" s="13">
        <v>7.0</v>
      </c>
      <c r="Q115" s="11" t="s">
        <v>533</v>
      </c>
      <c r="R115" s="11" t="s">
        <v>534</v>
      </c>
      <c r="S115" s="11"/>
      <c r="T115" s="11"/>
      <c r="U115" s="11"/>
      <c r="V115" s="11"/>
      <c r="W115" s="11"/>
      <c r="X115" s="11"/>
      <c r="Y115" s="11"/>
      <c r="Z115" s="11"/>
      <c r="AA115" s="11"/>
      <c r="AB115" s="11"/>
    </row>
    <row r="116" ht="15.75" customHeight="1">
      <c r="A116" s="11" t="s">
        <v>535</v>
      </c>
      <c r="B116" s="12" t="s">
        <v>44</v>
      </c>
      <c r="C116" s="11" t="s">
        <v>30</v>
      </c>
      <c r="D116" s="11" t="s">
        <v>536</v>
      </c>
      <c r="E116" s="11">
        <v>12.0</v>
      </c>
      <c r="F116" s="11">
        <v>20.0</v>
      </c>
      <c r="G116" s="11" t="s">
        <v>537</v>
      </c>
      <c r="H116" s="11" t="s">
        <v>80</v>
      </c>
      <c r="I116" s="11">
        <f t="shared" si="109"/>
        <v>4</v>
      </c>
      <c r="J116" s="11">
        <f t="shared" ref="J116:K116" si="110">+2</f>
        <v>2</v>
      </c>
      <c r="K116" s="11">
        <f t="shared" si="110"/>
        <v>2</v>
      </c>
      <c r="L116" s="11">
        <v>-1.0</v>
      </c>
      <c r="M116" s="11">
        <f t="shared" si="111"/>
        <v>1</v>
      </c>
      <c r="N116" s="11">
        <v>-1.0</v>
      </c>
      <c r="O116" s="11" t="s">
        <v>76</v>
      </c>
      <c r="P116" s="13">
        <v>4.0</v>
      </c>
      <c r="Q116" s="11"/>
      <c r="R116" s="11"/>
      <c r="S116" s="11"/>
      <c r="T116" s="11"/>
      <c r="U116" s="11"/>
      <c r="V116" s="11"/>
      <c r="W116" s="11"/>
      <c r="X116" s="11"/>
      <c r="Y116" s="11"/>
      <c r="Z116" s="11"/>
      <c r="AA116" s="11"/>
      <c r="AB116" s="11"/>
    </row>
    <row r="117" ht="15.75" customHeight="1">
      <c r="A117" s="11" t="s">
        <v>538</v>
      </c>
      <c r="B117" s="12">
        <v>0.5</v>
      </c>
      <c r="C117" s="11" t="s">
        <v>30</v>
      </c>
      <c r="D117" s="11" t="s">
        <v>539</v>
      </c>
      <c r="E117" s="11">
        <v>11.0</v>
      </c>
      <c r="F117" s="11">
        <v>9.0</v>
      </c>
      <c r="G117" s="11" t="s">
        <v>540</v>
      </c>
      <c r="H117" s="11" t="s">
        <v>80</v>
      </c>
      <c r="I117" s="11">
        <f t="shared" ref="I117:J117" si="112">+1</f>
        <v>1</v>
      </c>
      <c r="J117" s="11">
        <f t="shared" si="112"/>
        <v>1</v>
      </c>
      <c r="K117" s="11">
        <f>+0</f>
        <v>0</v>
      </c>
      <c r="L117" s="11">
        <v>-4.0</v>
      </c>
      <c r="M117" s="11">
        <v>-3.0</v>
      </c>
      <c r="N117" s="11">
        <v>-4.0</v>
      </c>
      <c r="O117" s="11" t="s">
        <v>76</v>
      </c>
      <c r="P117" s="13">
        <v>2.0</v>
      </c>
      <c r="Q117" s="11" t="s">
        <v>541</v>
      </c>
      <c r="R117" s="11" t="s">
        <v>542</v>
      </c>
      <c r="S117" s="11"/>
      <c r="T117" s="11"/>
      <c r="U117" s="11"/>
      <c r="V117" s="11"/>
      <c r="W117" s="11"/>
      <c r="X117" s="11"/>
      <c r="Y117" s="11"/>
      <c r="Z117" s="11"/>
      <c r="AA117" s="11"/>
      <c r="AB117" s="11"/>
    </row>
    <row r="118" ht="15.75" customHeight="1">
      <c r="A118" s="11" t="s">
        <v>543</v>
      </c>
      <c r="B118" s="12">
        <v>2.0</v>
      </c>
      <c r="C118" s="11" t="s">
        <v>30</v>
      </c>
      <c r="D118" s="11" t="s">
        <v>544</v>
      </c>
      <c r="E118" s="11">
        <v>14.0</v>
      </c>
      <c r="F118" s="11">
        <v>19.0</v>
      </c>
      <c r="G118" s="11" t="s">
        <v>545</v>
      </c>
      <c r="H118" s="11" t="s">
        <v>80</v>
      </c>
      <c r="I118" s="11">
        <f>+3</f>
        <v>3</v>
      </c>
      <c r="J118" s="11">
        <f t="shared" ref="J118:J120" si="113">+2</f>
        <v>2</v>
      </c>
      <c r="K118" s="11">
        <f t="shared" ref="K118:K119" si="114">+1</f>
        <v>1</v>
      </c>
      <c r="L118" s="11">
        <v>-3.0</v>
      </c>
      <c r="M118" s="11">
        <f t="shared" ref="M118:M121" si="115">+1</f>
        <v>1</v>
      </c>
      <c r="N118" s="11">
        <v>-3.0</v>
      </c>
      <c r="O118" s="11" t="s">
        <v>76</v>
      </c>
      <c r="P118" s="13">
        <v>4.0</v>
      </c>
      <c r="Q118" s="11" t="s">
        <v>546</v>
      </c>
      <c r="R118" s="11" t="s">
        <v>547</v>
      </c>
      <c r="S118" s="11"/>
      <c r="T118" s="11"/>
      <c r="U118" s="11"/>
      <c r="V118" s="11"/>
      <c r="W118" s="11"/>
      <c r="X118" s="11"/>
      <c r="Y118" s="11"/>
      <c r="Z118" s="11"/>
      <c r="AA118" s="11"/>
      <c r="AB118" s="11"/>
    </row>
    <row r="119" ht="15.75" customHeight="1">
      <c r="A119" s="11" t="s">
        <v>548</v>
      </c>
      <c r="B119" s="12">
        <v>2.0</v>
      </c>
      <c r="C119" s="11" t="s">
        <v>30</v>
      </c>
      <c r="D119" s="11" t="s">
        <v>549</v>
      </c>
      <c r="E119" s="11">
        <v>12.0</v>
      </c>
      <c r="F119" s="11">
        <v>19.0</v>
      </c>
      <c r="G119" s="11" t="s">
        <v>550</v>
      </c>
      <c r="H119" s="11" t="s">
        <v>48</v>
      </c>
      <c r="I119" s="11">
        <f t="shared" ref="I119:I120" si="116">+4</f>
        <v>4</v>
      </c>
      <c r="J119" s="11">
        <f t="shared" si="113"/>
        <v>2</v>
      </c>
      <c r="K119" s="11">
        <f t="shared" si="114"/>
        <v>1</v>
      </c>
      <c r="L119" s="11">
        <v>-3.0</v>
      </c>
      <c r="M119" s="11">
        <f t="shared" si="115"/>
        <v>1</v>
      </c>
      <c r="N119" s="11">
        <v>-1.0</v>
      </c>
      <c r="O119" s="11" t="s">
        <v>76</v>
      </c>
      <c r="P119" s="13">
        <v>4.0</v>
      </c>
      <c r="Q119" s="11"/>
      <c r="R119" s="11"/>
      <c r="S119" s="11"/>
      <c r="T119" s="11"/>
      <c r="U119" s="11"/>
      <c r="V119" s="11"/>
      <c r="W119" s="11"/>
      <c r="X119" s="11"/>
      <c r="Y119" s="11"/>
      <c r="Z119" s="11"/>
      <c r="AA119" s="11"/>
      <c r="AB119" s="11"/>
    </row>
    <row r="120" ht="15.75" customHeight="1">
      <c r="A120" s="11" t="s">
        <v>551</v>
      </c>
      <c r="B120" s="12" t="s">
        <v>44</v>
      </c>
      <c r="C120" s="11" t="s">
        <v>30</v>
      </c>
      <c r="D120" s="11" t="s">
        <v>552</v>
      </c>
      <c r="E120" s="11">
        <v>12.0</v>
      </c>
      <c r="F120" s="11">
        <v>43.0</v>
      </c>
      <c r="G120" s="11" t="s">
        <v>553</v>
      </c>
      <c r="H120" s="11" t="s">
        <v>40</v>
      </c>
      <c r="I120" s="11">
        <f t="shared" si="116"/>
        <v>4</v>
      </c>
      <c r="J120" s="11">
        <f t="shared" si="113"/>
        <v>2</v>
      </c>
      <c r="K120" s="11">
        <f>+3</f>
        <v>3</v>
      </c>
      <c r="L120" s="11">
        <v>-3.0</v>
      </c>
      <c r="M120" s="11">
        <f t="shared" si="115"/>
        <v>1</v>
      </c>
      <c r="N120" s="11">
        <v>-2.0</v>
      </c>
      <c r="O120" s="11" t="s">
        <v>76</v>
      </c>
      <c r="P120" s="13">
        <v>9.0</v>
      </c>
      <c r="Q120" s="11" t="s">
        <v>554</v>
      </c>
      <c r="R120" s="11"/>
      <c r="S120" s="11"/>
      <c r="T120" s="11"/>
      <c r="U120" s="11"/>
      <c r="V120" s="11"/>
      <c r="W120" s="11"/>
      <c r="X120" s="11"/>
      <c r="Y120" s="11"/>
      <c r="Z120" s="11"/>
      <c r="AA120" s="11"/>
      <c r="AB120" s="11"/>
    </row>
    <row r="121" ht="15.75" customHeight="1">
      <c r="A121" s="11" t="s">
        <v>555</v>
      </c>
      <c r="B121" s="12">
        <v>0.125</v>
      </c>
      <c r="C121" s="11" t="s">
        <v>30</v>
      </c>
      <c r="D121" s="11" t="s">
        <v>556</v>
      </c>
      <c r="E121" s="11">
        <v>15.0</v>
      </c>
      <c r="F121" s="11">
        <v>4.0</v>
      </c>
      <c r="G121" s="11" t="s">
        <v>557</v>
      </c>
      <c r="H121" s="11" t="s">
        <v>40</v>
      </c>
      <c r="I121" s="11">
        <f>+1</f>
        <v>1</v>
      </c>
      <c r="J121" s="11">
        <f t="shared" ref="J121:L121" si="117">+0</f>
        <v>0</v>
      </c>
      <c r="K121" s="11">
        <f t="shared" si="117"/>
        <v>0</v>
      </c>
      <c r="L121" s="11">
        <f t="shared" si="117"/>
        <v>0</v>
      </c>
      <c r="M121" s="11">
        <f t="shared" si="115"/>
        <v>1</v>
      </c>
      <c r="N121" s="11">
        <f>+0</f>
        <v>0</v>
      </c>
      <c r="O121" s="11" t="s">
        <v>41</v>
      </c>
      <c r="P121" s="13">
        <v>1.0</v>
      </c>
      <c r="Q121" s="11"/>
      <c r="R121" s="11"/>
      <c r="S121" s="11"/>
      <c r="T121" s="11"/>
      <c r="U121" s="11"/>
      <c r="V121" s="11"/>
      <c r="W121" s="11"/>
      <c r="X121" s="11"/>
      <c r="Y121" s="11"/>
      <c r="Z121" s="11"/>
      <c r="AA121" s="11"/>
      <c r="AB121" s="11"/>
    </row>
    <row r="122" ht="15.75" customHeight="1">
      <c r="A122" s="11" t="s">
        <v>558</v>
      </c>
      <c r="B122" s="12">
        <v>5.0</v>
      </c>
      <c r="C122" s="11" t="s">
        <v>30</v>
      </c>
      <c r="D122" s="11" t="s">
        <v>559</v>
      </c>
      <c r="E122" s="11">
        <v>14.0</v>
      </c>
      <c r="F122" s="11">
        <v>37.0</v>
      </c>
      <c r="G122" s="11" t="s">
        <v>560</v>
      </c>
      <c r="H122" s="11" t="s">
        <v>40</v>
      </c>
      <c r="I122" s="11">
        <f>+4</f>
        <v>4</v>
      </c>
      <c r="J122" s="11">
        <f>+2</f>
        <v>2</v>
      </c>
      <c r="K122" s="11">
        <f t="shared" ref="K122:K125" si="119">+1</f>
        <v>1</v>
      </c>
      <c r="L122" s="11">
        <f>+2</f>
        <v>2</v>
      </c>
      <c r="M122" s="11">
        <f t="shared" ref="M122:N122" si="118">+3</f>
        <v>3</v>
      </c>
      <c r="N122" s="11">
        <f t="shared" si="118"/>
        <v>3</v>
      </c>
      <c r="O122" s="11" t="s">
        <v>13</v>
      </c>
      <c r="P122" s="13">
        <v>8.0</v>
      </c>
      <c r="Q122" s="11" t="s">
        <v>561</v>
      </c>
      <c r="R122" s="11" t="s">
        <v>562</v>
      </c>
      <c r="S122" s="11"/>
      <c r="T122" s="11"/>
      <c r="U122" s="11"/>
      <c r="V122" s="11"/>
      <c r="W122" s="11"/>
      <c r="X122" s="11"/>
      <c r="Y122" s="11"/>
      <c r="Z122" s="11"/>
      <c r="AA122" s="11"/>
      <c r="AB122" s="11"/>
    </row>
    <row r="123" ht="15.75" customHeight="1">
      <c r="A123" s="11" t="s">
        <v>563</v>
      </c>
      <c r="B123" s="12">
        <v>2.0</v>
      </c>
      <c r="C123" s="11" t="s">
        <v>30</v>
      </c>
      <c r="D123" s="11" t="s">
        <v>564</v>
      </c>
      <c r="E123" s="11">
        <v>15.0</v>
      </c>
      <c r="F123" s="11">
        <v>28.0</v>
      </c>
      <c r="G123" s="11" t="s">
        <v>127</v>
      </c>
      <c r="H123" s="11" t="s">
        <v>33</v>
      </c>
      <c r="I123" s="11">
        <f>+2</f>
        <v>2</v>
      </c>
      <c r="J123" s="11">
        <f>+3</f>
        <v>3</v>
      </c>
      <c r="K123" s="11">
        <f t="shared" si="119"/>
        <v>1</v>
      </c>
      <c r="L123" s="11">
        <f t="shared" ref="L123:L124" si="121">+1</f>
        <v>1</v>
      </c>
      <c r="M123" s="11">
        <f t="shared" ref="M123:N123" si="120">+2</f>
        <v>2</v>
      </c>
      <c r="N123" s="11">
        <f t="shared" si="120"/>
        <v>2</v>
      </c>
      <c r="O123" s="11" t="s">
        <v>13</v>
      </c>
      <c r="P123" s="13">
        <v>6.0</v>
      </c>
      <c r="Q123" s="11" t="s">
        <v>562</v>
      </c>
      <c r="R123" s="11" t="s">
        <v>565</v>
      </c>
      <c r="S123" s="11"/>
      <c r="T123" s="11"/>
      <c r="U123" s="11"/>
      <c r="V123" s="11"/>
      <c r="W123" s="11"/>
      <c r="X123" s="11"/>
      <c r="Y123" s="11"/>
      <c r="Z123" s="11"/>
      <c r="AA123" s="11"/>
      <c r="AB123" s="11"/>
    </row>
    <row r="124" ht="15.75" customHeight="1">
      <c r="A124" s="11" t="s">
        <v>566</v>
      </c>
      <c r="B124" s="12">
        <v>3.0</v>
      </c>
      <c r="C124" s="11" t="s">
        <v>30</v>
      </c>
      <c r="D124" s="11" t="s">
        <v>567</v>
      </c>
      <c r="E124" s="11">
        <v>14.0</v>
      </c>
      <c r="F124" s="11">
        <v>28.0</v>
      </c>
      <c r="G124" s="11" t="s">
        <v>568</v>
      </c>
      <c r="H124" s="11" t="s">
        <v>40</v>
      </c>
      <c r="I124" s="11">
        <f>+3</f>
        <v>3</v>
      </c>
      <c r="J124" s="11">
        <f>+2</f>
        <v>2</v>
      </c>
      <c r="K124" s="11">
        <f t="shared" si="119"/>
        <v>1</v>
      </c>
      <c r="L124" s="11">
        <f t="shared" si="121"/>
        <v>1</v>
      </c>
      <c r="M124" s="11">
        <f>+2</f>
        <v>2</v>
      </c>
      <c r="N124" s="11">
        <f>+3</f>
        <v>3</v>
      </c>
      <c r="O124" s="11" t="s">
        <v>13</v>
      </c>
      <c r="P124" s="13">
        <v>6.0</v>
      </c>
      <c r="Q124" s="11" t="s">
        <v>569</v>
      </c>
      <c r="R124" s="11" t="s">
        <v>562</v>
      </c>
      <c r="S124" s="11"/>
      <c r="T124" s="11"/>
      <c r="U124" s="11"/>
      <c r="V124" s="11"/>
      <c r="W124" s="11"/>
      <c r="X124" s="11"/>
      <c r="Y124" s="11"/>
      <c r="Z124" s="11"/>
      <c r="AA124" s="11"/>
      <c r="AB124" s="11"/>
    </row>
    <row r="125" ht="15.75" customHeight="1">
      <c r="A125" s="11" t="s">
        <v>570</v>
      </c>
      <c r="B125" s="12">
        <v>1.0</v>
      </c>
      <c r="C125" s="11" t="s">
        <v>30</v>
      </c>
      <c r="D125" s="11" t="s">
        <v>571</v>
      </c>
      <c r="E125" s="11">
        <v>13.0</v>
      </c>
      <c r="F125" s="11">
        <v>14.0</v>
      </c>
      <c r="G125" s="11" t="s">
        <v>572</v>
      </c>
      <c r="H125" s="11" t="s">
        <v>55</v>
      </c>
      <c r="I125" s="11">
        <f>+1</f>
        <v>1</v>
      </c>
      <c r="J125" s="11">
        <f>+3</f>
        <v>3</v>
      </c>
      <c r="K125" s="11">
        <f t="shared" si="119"/>
        <v>1</v>
      </c>
      <c r="L125" s="11">
        <f t="shared" ref="L125:M125" si="122">+0</f>
        <v>0</v>
      </c>
      <c r="M125" s="11">
        <f t="shared" si="122"/>
        <v>0</v>
      </c>
      <c r="N125" s="11">
        <f>+1</f>
        <v>1</v>
      </c>
      <c r="O125" s="11" t="s">
        <v>13</v>
      </c>
      <c r="P125" s="13">
        <v>3.0</v>
      </c>
      <c r="Q125" s="11" t="s">
        <v>573</v>
      </c>
      <c r="R125" s="11"/>
      <c r="S125" s="11"/>
      <c r="T125" s="11"/>
      <c r="U125" s="11"/>
      <c r="V125" s="11"/>
      <c r="W125" s="11"/>
      <c r="X125" s="11"/>
      <c r="Y125" s="11"/>
      <c r="Z125" s="11"/>
      <c r="AA125" s="11"/>
      <c r="AB125" s="11"/>
    </row>
    <row r="126" ht="15.75" customHeight="1">
      <c r="A126" s="11" t="s">
        <v>574</v>
      </c>
      <c r="B126" s="12">
        <v>3.0</v>
      </c>
      <c r="C126" s="11" t="s">
        <v>30</v>
      </c>
      <c r="D126" s="11" t="s">
        <v>575</v>
      </c>
      <c r="E126" s="11">
        <v>13.0</v>
      </c>
      <c r="F126" s="11">
        <v>19.0</v>
      </c>
      <c r="G126" s="11" t="s">
        <v>576</v>
      </c>
      <c r="H126" s="11" t="s">
        <v>167</v>
      </c>
      <c r="I126" s="11">
        <f>+2</f>
        <v>2</v>
      </c>
      <c r="J126" s="11">
        <f t="shared" ref="J126:K126" si="123">+1</f>
        <v>1</v>
      </c>
      <c r="K126" s="11">
        <f t="shared" si="123"/>
        <v>1</v>
      </c>
      <c r="L126" s="11">
        <v>-2.0</v>
      </c>
      <c r="M126" s="11">
        <f t="shared" ref="M126:M127" si="125">+1</f>
        <v>1</v>
      </c>
      <c r="N126" s="11">
        <v>-3.0</v>
      </c>
      <c r="O126" s="11" t="s">
        <v>13</v>
      </c>
      <c r="P126" s="13">
        <v>4.0</v>
      </c>
      <c r="Q126" s="11" t="s">
        <v>577</v>
      </c>
      <c r="R126" s="11" t="s">
        <v>578</v>
      </c>
      <c r="S126" s="11"/>
      <c r="T126" s="11"/>
      <c r="U126" s="11"/>
      <c r="V126" s="11"/>
      <c r="W126" s="11"/>
      <c r="X126" s="11"/>
      <c r="Y126" s="11"/>
      <c r="Z126" s="11"/>
      <c r="AA126" s="11"/>
      <c r="AB126" s="11"/>
    </row>
    <row r="127" ht="15.75" customHeight="1">
      <c r="A127" s="11" t="s">
        <v>579</v>
      </c>
      <c r="B127" s="12">
        <v>1.0</v>
      </c>
      <c r="C127" s="11" t="s">
        <v>30</v>
      </c>
      <c r="D127" s="11" t="s">
        <v>580</v>
      </c>
      <c r="E127" s="11">
        <v>13.0</v>
      </c>
      <c r="F127" s="11">
        <v>14.0</v>
      </c>
      <c r="G127" s="11" t="s">
        <v>581</v>
      </c>
      <c r="H127" s="11" t="s">
        <v>48</v>
      </c>
      <c r="I127" s="11">
        <f t="shared" ref="I127:J127" si="124">+3</f>
        <v>3</v>
      </c>
      <c r="J127" s="11">
        <f t="shared" si="124"/>
        <v>3</v>
      </c>
      <c r="K127" s="11">
        <f>+1</f>
        <v>1</v>
      </c>
      <c r="L127" s="11">
        <v>-3.0</v>
      </c>
      <c r="M127" s="11">
        <f t="shared" si="125"/>
        <v>1</v>
      </c>
      <c r="N127" s="11">
        <v>-2.0</v>
      </c>
      <c r="O127" s="11" t="s">
        <v>76</v>
      </c>
      <c r="P127" s="13">
        <v>3.0</v>
      </c>
      <c r="Q127" s="11"/>
      <c r="R127" s="11"/>
      <c r="S127" s="11"/>
      <c r="T127" s="11"/>
      <c r="U127" s="11"/>
      <c r="V127" s="11"/>
      <c r="W127" s="11"/>
      <c r="X127" s="11"/>
      <c r="Y127" s="11"/>
      <c r="Z127" s="11"/>
      <c r="AA127" s="11"/>
      <c r="AB127" s="11"/>
    </row>
    <row r="128" ht="15.75" customHeight="1">
      <c r="A128" s="11" t="s">
        <v>582</v>
      </c>
      <c r="B128" s="12" t="s">
        <v>44</v>
      </c>
      <c r="C128" s="11" t="s">
        <v>30</v>
      </c>
      <c r="D128" s="11" t="s">
        <v>583</v>
      </c>
      <c r="E128" s="11">
        <v>12.0</v>
      </c>
      <c r="F128" s="11">
        <v>24.0</v>
      </c>
      <c r="G128" s="11" t="s">
        <v>584</v>
      </c>
      <c r="H128" s="11" t="s">
        <v>33</v>
      </c>
      <c r="I128" s="11">
        <f>+4</f>
        <v>4</v>
      </c>
      <c r="J128" s="11">
        <f t="shared" ref="J128:J129" si="126">+0</f>
        <v>0</v>
      </c>
      <c r="K128" s="11">
        <f>+2</f>
        <v>2</v>
      </c>
      <c r="L128" s="11">
        <v>-3.0</v>
      </c>
      <c r="M128" s="11">
        <f>+0</f>
        <v>0</v>
      </c>
      <c r="N128" s="11">
        <v>-3.0</v>
      </c>
      <c r="O128" s="11" t="s">
        <v>76</v>
      </c>
      <c r="P128" s="13">
        <v>5.0</v>
      </c>
      <c r="Q128" s="11" t="s">
        <v>585</v>
      </c>
      <c r="R128" s="11"/>
      <c r="S128" s="11"/>
      <c r="T128" s="11"/>
      <c r="U128" s="11"/>
      <c r="V128" s="11"/>
      <c r="W128" s="11"/>
      <c r="X128" s="11"/>
      <c r="Y128" s="11"/>
      <c r="Z128" s="11"/>
      <c r="AA128" s="11"/>
      <c r="AB128" s="11"/>
    </row>
    <row r="129" ht="15.75" customHeight="1">
      <c r="A129" s="11" t="s">
        <v>586</v>
      </c>
      <c r="B129" s="12">
        <v>0.5</v>
      </c>
      <c r="C129" s="11" t="s">
        <v>30</v>
      </c>
      <c r="D129" s="11" t="s">
        <v>587</v>
      </c>
      <c r="E129" s="11">
        <v>15.0</v>
      </c>
      <c r="F129" s="11">
        <v>10.0</v>
      </c>
      <c r="G129" s="11" t="s">
        <v>588</v>
      </c>
      <c r="H129" s="11" t="s">
        <v>40</v>
      </c>
      <c r="I129" s="11">
        <f t="shared" ref="I129:I130" si="128">+3</f>
        <v>3</v>
      </c>
      <c r="J129" s="11">
        <f t="shared" si="126"/>
        <v>0</v>
      </c>
      <c r="K129" s="11">
        <f>+1</f>
        <v>1</v>
      </c>
      <c r="L129" s="11">
        <f>+2</f>
        <v>2</v>
      </c>
      <c r="M129" s="11">
        <f t="shared" ref="M129:N129" si="127">+1</f>
        <v>1</v>
      </c>
      <c r="N129" s="11">
        <f t="shared" si="127"/>
        <v>1</v>
      </c>
      <c r="O129" s="11" t="s">
        <v>13</v>
      </c>
      <c r="P129" s="13">
        <v>2.0</v>
      </c>
      <c r="Q129" s="11" t="s">
        <v>589</v>
      </c>
      <c r="R129" s="11"/>
      <c r="S129" s="11"/>
      <c r="T129" s="11"/>
      <c r="U129" s="11"/>
      <c r="V129" s="11"/>
      <c r="W129" s="11"/>
      <c r="X129" s="11"/>
      <c r="Y129" s="11"/>
      <c r="Z129" s="11"/>
      <c r="AA129" s="11"/>
      <c r="AB129" s="11"/>
    </row>
    <row r="130" ht="15.75" customHeight="1">
      <c r="A130" s="11" t="s">
        <v>590</v>
      </c>
      <c r="B130" s="12">
        <v>0.25</v>
      </c>
      <c r="C130" s="11" t="s">
        <v>30</v>
      </c>
      <c r="D130" s="11" t="s">
        <v>591</v>
      </c>
      <c r="E130" s="11">
        <v>11.0</v>
      </c>
      <c r="F130" s="11">
        <v>11.0</v>
      </c>
      <c r="G130" s="11" t="s">
        <v>592</v>
      </c>
      <c r="H130" s="11" t="s">
        <v>167</v>
      </c>
      <c r="I130" s="11">
        <f t="shared" si="128"/>
        <v>3</v>
      </c>
      <c r="J130" s="11">
        <f t="shared" ref="J130:J131" si="129">+1</f>
        <v>1</v>
      </c>
      <c r="K130" s="11">
        <f t="shared" ref="K130:K132" si="130">+2</f>
        <v>2</v>
      </c>
      <c r="L130" s="11">
        <v>-3.0</v>
      </c>
      <c r="M130" s="11">
        <f t="shared" ref="M130:M133" si="131">+1</f>
        <v>1</v>
      </c>
      <c r="N130" s="11">
        <v>-2.0</v>
      </c>
      <c r="O130" s="11" t="s">
        <v>76</v>
      </c>
      <c r="P130" s="13">
        <v>2.0</v>
      </c>
      <c r="Q130" s="11"/>
      <c r="R130" s="11"/>
      <c r="S130" s="11"/>
      <c r="T130" s="11"/>
      <c r="U130" s="11"/>
      <c r="V130" s="11"/>
      <c r="W130" s="11"/>
      <c r="X130" s="11"/>
      <c r="Y130" s="11"/>
      <c r="Z130" s="11"/>
      <c r="AA130" s="11"/>
      <c r="AB130" s="11"/>
    </row>
    <row r="131" ht="15.75" customHeight="1">
      <c r="A131" s="11" t="s">
        <v>593</v>
      </c>
      <c r="B131" s="12">
        <v>8.0</v>
      </c>
      <c r="C131" s="11" t="s">
        <v>30</v>
      </c>
      <c r="D131" s="11" t="s">
        <v>594</v>
      </c>
      <c r="E131" s="11">
        <v>15.0</v>
      </c>
      <c r="F131" s="11" t="s">
        <v>396</v>
      </c>
      <c r="G131" s="11" t="s">
        <v>595</v>
      </c>
      <c r="H131" s="11" t="s">
        <v>33</v>
      </c>
      <c r="I131" s="11">
        <f>+5</f>
        <v>5</v>
      </c>
      <c r="J131" s="11">
        <f t="shared" si="129"/>
        <v>1</v>
      </c>
      <c r="K131" s="11">
        <f t="shared" si="130"/>
        <v>2</v>
      </c>
      <c r="L131" s="11">
        <v>-2.0</v>
      </c>
      <c r="M131" s="11">
        <f t="shared" si="131"/>
        <v>1</v>
      </c>
      <c r="N131" s="11">
        <v>-2.0</v>
      </c>
      <c r="O131" s="11" t="s">
        <v>76</v>
      </c>
      <c r="P131" s="13" t="s">
        <v>396</v>
      </c>
      <c r="Q131" s="11" t="s">
        <v>596</v>
      </c>
      <c r="R131" s="11"/>
      <c r="S131" s="11"/>
      <c r="T131" s="11"/>
      <c r="U131" s="11"/>
      <c r="V131" s="11"/>
      <c r="W131" s="11"/>
      <c r="X131" s="11"/>
      <c r="Y131" s="11"/>
      <c r="Z131" s="11"/>
      <c r="AA131" s="11"/>
      <c r="AB131" s="11"/>
    </row>
    <row r="132" ht="15.75" customHeight="1">
      <c r="A132" s="11" t="s">
        <v>597</v>
      </c>
      <c r="B132" s="12">
        <v>6.0</v>
      </c>
      <c r="C132" s="11" t="s">
        <v>30</v>
      </c>
      <c r="D132" s="11" t="s">
        <v>598</v>
      </c>
      <c r="E132" s="11">
        <v>13.0</v>
      </c>
      <c r="F132" s="11">
        <v>29.0</v>
      </c>
      <c r="G132" s="11" t="s">
        <v>599</v>
      </c>
      <c r="H132" s="11" t="s">
        <v>55</v>
      </c>
      <c r="I132" s="11">
        <f>+2</f>
        <v>2</v>
      </c>
      <c r="J132" s="11">
        <f>+3</f>
        <v>3</v>
      </c>
      <c r="K132" s="11">
        <f t="shared" si="130"/>
        <v>2</v>
      </c>
      <c r="L132" s="11">
        <f>+2</f>
        <v>2</v>
      </c>
      <c r="M132" s="11">
        <f t="shared" si="131"/>
        <v>1</v>
      </c>
      <c r="N132" s="11">
        <f>+0</f>
        <v>0</v>
      </c>
      <c r="O132" s="11" t="s">
        <v>76</v>
      </c>
      <c r="P132" s="13">
        <v>6.0</v>
      </c>
      <c r="Q132" s="11" t="s">
        <v>600</v>
      </c>
      <c r="R132" s="11" t="s">
        <v>601</v>
      </c>
      <c r="S132" s="11" t="s">
        <v>602</v>
      </c>
      <c r="T132" s="11"/>
      <c r="U132" s="11"/>
      <c r="V132" s="11"/>
      <c r="W132" s="11"/>
      <c r="X132" s="11"/>
      <c r="Y132" s="11"/>
      <c r="Z132" s="11"/>
      <c r="AA132" s="11"/>
      <c r="AB132" s="11"/>
    </row>
    <row r="133" ht="15.75" customHeight="1">
      <c r="A133" s="11" t="s">
        <v>603</v>
      </c>
      <c r="B133" s="12" t="s">
        <v>44</v>
      </c>
      <c r="C133" s="11" t="s">
        <v>30</v>
      </c>
      <c r="D133" s="11" t="s">
        <v>604</v>
      </c>
      <c r="E133" s="11">
        <v>11.0</v>
      </c>
      <c r="F133" s="11">
        <v>1.0</v>
      </c>
      <c r="G133" s="11" t="s">
        <v>605</v>
      </c>
      <c r="H133" s="11" t="s">
        <v>606</v>
      </c>
      <c r="I133" s="11">
        <v>-4.0</v>
      </c>
      <c r="J133" s="11">
        <f>+1</f>
        <v>1</v>
      </c>
      <c r="K133" s="11">
        <f>+0</f>
        <v>0</v>
      </c>
      <c r="L133" s="11">
        <v>-4.0</v>
      </c>
      <c r="M133" s="11">
        <f t="shared" si="131"/>
        <v>1</v>
      </c>
      <c r="N133" s="11">
        <v>-4.0</v>
      </c>
      <c r="O133" s="11" t="s">
        <v>76</v>
      </c>
      <c r="P133" s="13">
        <v>0.0</v>
      </c>
      <c r="Q133" s="11" t="s">
        <v>607</v>
      </c>
      <c r="R133" s="11"/>
      <c r="S133" s="11"/>
      <c r="T133" s="11"/>
      <c r="U133" s="11"/>
      <c r="V133" s="11"/>
      <c r="W133" s="11"/>
      <c r="X133" s="11"/>
      <c r="Y133" s="11"/>
      <c r="Z133" s="11"/>
      <c r="AA133" s="11"/>
      <c r="AB133" s="11"/>
    </row>
    <row r="134" ht="15.75" customHeight="1">
      <c r="A134" s="11" t="s">
        <v>608</v>
      </c>
      <c r="B134" s="12">
        <v>3.0</v>
      </c>
      <c r="C134" s="11" t="s">
        <v>30</v>
      </c>
      <c r="D134" s="11" t="s">
        <v>609</v>
      </c>
      <c r="E134" s="11">
        <v>17.0</v>
      </c>
      <c r="F134" s="11">
        <v>14.0</v>
      </c>
      <c r="G134" s="11" t="s">
        <v>610</v>
      </c>
      <c r="H134" s="11" t="s">
        <v>40</v>
      </c>
      <c r="I134" s="11">
        <f>+3</f>
        <v>3</v>
      </c>
      <c r="J134" s="11">
        <f>+0</f>
        <v>0</v>
      </c>
      <c r="K134" s="11">
        <f>+1</f>
        <v>1</v>
      </c>
      <c r="L134" s="11">
        <f t="shared" ref="L134:M134" si="132">+0</f>
        <v>0</v>
      </c>
      <c r="M134" s="11">
        <f t="shared" si="132"/>
        <v>0</v>
      </c>
      <c r="N134" s="11">
        <f>+1</f>
        <v>1</v>
      </c>
      <c r="O134" s="11" t="s">
        <v>41</v>
      </c>
      <c r="P134" s="13">
        <v>3.0</v>
      </c>
      <c r="Q134" s="11" t="s">
        <v>611</v>
      </c>
      <c r="R134" s="11"/>
      <c r="S134" s="11"/>
      <c r="T134" s="11"/>
      <c r="U134" s="11"/>
      <c r="V134" s="11"/>
      <c r="W134" s="11"/>
      <c r="X134" s="11"/>
      <c r="Y134" s="11"/>
      <c r="Z134" s="11"/>
      <c r="AA134" s="11"/>
      <c r="AB134" s="11"/>
    </row>
    <row r="135" ht="15.75" customHeight="1">
      <c r="A135" s="11" t="s">
        <v>612</v>
      </c>
      <c r="B135" s="12">
        <v>0.125</v>
      </c>
      <c r="C135" s="11" t="s">
        <v>30</v>
      </c>
      <c r="D135" s="11" t="s">
        <v>613</v>
      </c>
      <c r="E135" s="11">
        <v>13.0</v>
      </c>
      <c r="F135" s="11">
        <v>1.0</v>
      </c>
      <c r="G135" s="11" t="s">
        <v>614</v>
      </c>
      <c r="H135" s="11" t="s">
        <v>40</v>
      </c>
      <c r="I135" s="11">
        <v>-2.0</v>
      </c>
      <c r="J135" s="11">
        <f t="shared" ref="J135:J136" si="133">+2</f>
        <v>2</v>
      </c>
      <c r="K135" s="11">
        <f t="shared" ref="K135:K136" si="134">+0</f>
        <v>0</v>
      </c>
      <c r="L135" s="11">
        <v>-1.0</v>
      </c>
      <c r="M135" s="11">
        <f>+0</f>
        <v>0</v>
      </c>
      <c r="N135" s="11">
        <v>-1.0</v>
      </c>
      <c r="O135" s="11" t="s">
        <v>13</v>
      </c>
      <c r="P135" s="13">
        <v>0.0</v>
      </c>
      <c r="Q135" s="11" t="s">
        <v>615</v>
      </c>
      <c r="R135" s="11"/>
      <c r="S135" s="11"/>
      <c r="T135" s="11"/>
      <c r="U135" s="11"/>
      <c r="V135" s="11"/>
      <c r="W135" s="11"/>
      <c r="X135" s="11"/>
      <c r="Y135" s="11"/>
      <c r="Z135" s="11"/>
      <c r="AA135" s="11"/>
      <c r="AB135" s="11"/>
    </row>
    <row r="136" ht="15.75" customHeight="1">
      <c r="A136" s="11" t="s">
        <v>616</v>
      </c>
      <c r="B136" s="15">
        <v>2.0</v>
      </c>
      <c r="C136" s="11" t="s">
        <v>30</v>
      </c>
      <c r="D136" s="11" t="s">
        <v>617</v>
      </c>
      <c r="E136" s="11">
        <v>13.0</v>
      </c>
      <c r="F136" s="11">
        <v>13.0</v>
      </c>
      <c r="G136" s="11" t="s">
        <v>618</v>
      </c>
      <c r="H136" s="11" t="s">
        <v>40</v>
      </c>
      <c r="I136" s="11">
        <v>-2.0</v>
      </c>
      <c r="J136" s="11">
        <f t="shared" si="133"/>
        <v>2</v>
      </c>
      <c r="K136" s="11">
        <f t="shared" si="134"/>
        <v>0</v>
      </c>
      <c r="L136" s="11">
        <v>-1.0</v>
      </c>
      <c r="M136" s="11">
        <f>+1</f>
        <v>1</v>
      </c>
      <c r="N136" s="11">
        <f>+2</f>
        <v>2</v>
      </c>
      <c r="O136" s="11" t="s">
        <v>13</v>
      </c>
      <c r="P136" s="13">
        <v>3.0</v>
      </c>
      <c r="Q136" s="11" t="s">
        <v>615</v>
      </c>
      <c r="R136" s="11" t="s">
        <v>619</v>
      </c>
      <c r="S136" s="11" t="s">
        <v>620</v>
      </c>
      <c r="T136" s="11"/>
      <c r="U136" s="11"/>
      <c r="V136" s="11"/>
      <c r="W136" s="11"/>
      <c r="X136" s="11"/>
      <c r="Y136" s="11"/>
      <c r="Z136" s="11"/>
      <c r="AA136" s="11"/>
      <c r="AB136" s="11"/>
    </row>
    <row r="137" ht="15.75" customHeight="1">
      <c r="A137" s="11" t="s">
        <v>621</v>
      </c>
      <c r="B137" s="12">
        <v>23.0</v>
      </c>
      <c r="C137" s="11" t="s">
        <v>30</v>
      </c>
      <c r="D137" s="11" t="s">
        <v>622</v>
      </c>
      <c r="E137" s="11">
        <v>18.0</v>
      </c>
      <c r="F137" s="11">
        <v>80.0</v>
      </c>
      <c r="G137" s="11" t="s">
        <v>623</v>
      </c>
      <c r="H137" s="11" t="s">
        <v>293</v>
      </c>
      <c r="I137" s="11">
        <f>+6</f>
        <v>6</v>
      </c>
      <c r="J137" s="11">
        <f>+3</f>
        <v>3</v>
      </c>
      <c r="K137" s="11">
        <f t="shared" ref="K137:L137" si="135">+4</f>
        <v>4</v>
      </c>
      <c r="L137" s="11">
        <f t="shared" si="135"/>
        <v>4</v>
      </c>
      <c r="M137" s="11">
        <f>+3</f>
        <v>3</v>
      </c>
      <c r="N137" s="11">
        <f>+4</f>
        <v>4</v>
      </c>
      <c r="O137" s="11" t="s">
        <v>13</v>
      </c>
      <c r="P137" s="13">
        <v>17.0</v>
      </c>
      <c r="Q137" s="11" t="s">
        <v>624</v>
      </c>
      <c r="R137" s="11" t="s">
        <v>625</v>
      </c>
      <c r="S137" s="11" t="s">
        <v>626</v>
      </c>
      <c r="T137" s="11" t="s">
        <v>627</v>
      </c>
      <c r="U137" s="11"/>
      <c r="V137" s="11"/>
      <c r="W137" s="11"/>
      <c r="X137" s="11"/>
      <c r="Y137" s="11"/>
      <c r="Z137" s="11"/>
      <c r="AA137" s="11"/>
      <c r="AB137" s="11"/>
    </row>
    <row r="138" ht="15.75" customHeight="1">
      <c r="A138" s="11" t="s">
        <v>628</v>
      </c>
      <c r="B138" s="12" t="s">
        <v>44</v>
      </c>
      <c r="C138" s="11" t="s">
        <v>30</v>
      </c>
      <c r="D138" s="11" t="s">
        <v>629</v>
      </c>
      <c r="E138" s="11">
        <v>9.0</v>
      </c>
      <c r="F138" s="11">
        <v>10.0</v>
      </c>
      <c r="G138" s="11" t="s">
        <v>630</v>
      </c>
      <c r="H138" s="11" t="s">
        <v>33</v>
      </c>
      <c r="I138" s="11">
        <f t="shared" ref="I138:I139" si="136">+1</f>
        <v>1</v>
      </c>
      <c r="J138" s="11">
        <v>-1.0</v>
      </c>
      <c r="K138" s="11">
        <f t="shared" ref="K138:K139" si="137">+1</f>
        <v>1</v>
      </c>
      <c r="L138" s="11">
        <v>-3.0</v>
      </c>
      <c r="M138" s="11">
        <v>-1.0</v>
      </c>
      <c r="N138" s="11">
        <v>-3.0</v>
      </c>
      <c r="O138" s="11" t="s">
        <v>76</v>
      </c>
      <c r="P138" s="13">
        <v>2.0</v>
      </c>
      <c r="Q138" s="11" t="s">
        <v>631</v>
      </c>
      <c r="R138" s="11"/>
      <c r="S138" s="11"/>
      <c r="T138" s="11"/>
      <c r="U138" s="11"/>
      <c r="V138" s="11"/>
      <c r="W138" s="11"/>
      <c r="X138" s="11"/>
      <c r="Y138" s="11"/>
      <c r="Z138" s="11"/>
      <c r="AA138" s="11"/>
      <c r="AB138" s="11"/>
    </row>
    <row r="139" ht="15.75" customHeight="1">
      <c r="A139" s="11" t="s">
        <v>632</v>
      </c>
      <c r="B139" s="15">
        <v>4.0</v>
      </c>
      <c r="C139" s="11" t="s">
        <v>30</v>
      </c>
      <c r="D139" s="11" t="s">
        <v>633</v>
      </c>
      <c r="E139" s="11">
        <v>13.0</v>
      </c>
      <c r="F139" s="11">
        <v>19.0</v>
      </c>
      <c r="G139" s="11" t="s">
        <v>634</v>
      </c>
      <c r="H139" s="11" t="s">
        <v>40</v>
      </c>
      <c r="I139" s="11">
        <f t="shared" si="136"/>
        <v>1</v>
      </c>
      <c r="J139" s="11">
        <f>+3</f>
        <v>3</v>
      </c>
      <c r="K139" s="11">
        <f t="shared" si="137"/>
        <v>1</v>
      </c>
      <c r="L139" s="11">
        <f>+2</f>
        <v>2</v>
      </c>
      <c r="M139" s="11">
        <f>+1</f>
        <v>1</v>
      </c>
      <c r="N139" s="11">
        <f>+3</f>
        <v>3</v>
      </c>
      <c r="O139" s="11" t="s">
        <v>76</v>
      </c>
      <c r="P139" s="13">
        <v>4.0</v>
      </c>
      <c r="Q139" s="11" t="s">
        <v>635</v>
      </c>
      <c r="R139" s="11" t="s">
        <v>636</v>
      </c>
      <c r="S139" s="11" t="s">
        <v>637</v>
      </c>
      <c r="T139" s="11" t="s">
        <v>638</v>
      </c>
      <c r="U139" s="11" t="s">
        <v>639</v>
      </c>
      <c r="V139" s="11"/>
      <c r="W139" s="11"/>
      <c r="X139" s="11"/>
      <c r="Y139" s="11"/>
      <c r="Z139" s="11"/>
      <c r="AA139" s="11"/>
      <c r="AB139" s="11"/>
    </row>
    <row r="140" ht="15.75" customHeight="1">
      <c r="A140" s="11" t="s">
        <v>640</v>
      </c>
      <c r="B140" s="12">
        <v>21.0</v>
      </c>
      <c r="C140" s="11" t="s">
        <v>30</v>
      </c>
      <c r="D140" s="11" t="s">
        <v>641</v>
      </c>
      <c r="E140" s="11">
        <v>16.0</v>
      </c>
      <c r="F140" s="11">
        <v>62.0</v>
      </c>
      <c r="G140" s="11" t="s">
        <v>642</v>
      </c>
      <c r="H140" s="11" t="s">
        <v>40</v>
      </c>
      <c r="I140" s="11">
        <f>+3</f>
        <v>3</v>
      </c>
      <c r="J140" s="11">
        <f>+1</f>
        <v>1</v>
      </c>
      <c r="K140" s="11">
        <f t="shared" ref="K140:L140" si="138">+4</f>
        <v>4</v>
      </c>
      <c r="L140" s="11">
        <f t="shared" si="138"/>
        <v>4</v>
      </c>
      <c r="M140" s="11">
        <f t="shared" ref="M140:N140" si="139">+3</f>
        <v>3</v>
      </c>
      <c r="N140" s="11">
        <f t="shared" si="139"/>
        <v>3</v>
      </c>
      <c r="O140" s="11" t="s">
        <v>13</v>
      </c>
      <c r="P140" s="13">
        <v>13.0</v>
      </c>
      <c r="Q140" s="11" t="s">
        <v>643</v>
      </c>
      <c r="R140" s="11" t="s">
        <v>644</v>
      </c>
      <c r="S140" s="11" t="s">
        <v>645</v>
      </c>
      <c r="T140" s="11" t="s">
        <v>646</v>
      </c>
      <c r="U140" s="11" t="s">
        <v>647</v>
      </c>
      <c r="V140" s="11" t="s">
        <v>648</v>
      </c>
      <c r="W140" s="11" t="s">
        <v>649</v>
      </c>
      <c r="X140" s="11" t="s">
        <v>650</v>
      </c>
      <c r="Y140" s="11"/>
      <c r="Z140" s="11"/>
      <c r="AA140" s="11"/>
      <c r="AB140" s="11"/>
    </row>
    <row r="141" ht="15.75" customHeight="1">
      <c r="A141" s="11" t="s">
        <v>651</v>
      </c>
      <c r="B141" s="12">
        <v>1.0</v>
      </c>
      <c r="C141" s="11" t="s">
        <v>30</v>
      </c>
      <c r="D141" s="11" t="s">
        <v>652</v>
      </c>
      <c r="E141" s="11">
        <v>12.0</v>
      </c>
      <c r="F141" s="11">
        <v>15.0</v>
      </c>
      <c r="G141" s="11" t="s">
        <v>653</v>
      </c>
      <c r="H141" s="11" t="s">
        <v>40</v>
      </c>
      <c r="I141" s="11">
        <f>+4</f>
        <v>4</v>
      </c>
      <c r="J141" s="11">
        <f t="shared" ref="J141:K141" si="140">+2</f>
        <v>2</v>
      </c>
      <c r="K141" s="11">
        <f t="shared" si="140"/>
        <v>2</v>
      </c>
      <c r="L141" s="11">
        <v>-3.0</v>
      </c>
      <c r="M141" s="11">
        <f t="shared" ref="M141:M147" si="142">+1</f>
        <v>1</v>
      </c>
      <c r="N141" s="11">
        <v>-3.0</v>
      </c>
      <c r="O141" s="11" t="s">
        <v>76</v>
      </c>
      <c r="P141" s="13">
        <v>3.0</v>
      </c>
      <c r="Q141" s="11"/>
      <c r="R141" s="11"/>
      <c r="S141" s="11"/>
      <c r="T141" s="11"/>
      <c r="U141" s="11"/>
      <c r="V141" s="11"/>
      <c r="W141" s="11"/>
      <c r="X141" s="11"/>
      <c r="Y141" s="11"/>
      <c r="Z141" s="11"/>
      <c r="AA141" s="11"/>
      <c r="AB141" s="11"/>
    </row>
    <row r="142" ht="15.75" customHeight="1">
      <c r="A142" s="11" t="s">
        <v>654</v>
      </c>
      <c r="B142" s="12">
        <v>0.5</v>
      </c>
      <c r="C142" s="11" t="s">
        <v>30</v>
      </c>
      <c r="D142" s="11" t="s">
        <v>655</v>
      </c>
      <c r="E142" s="11" t="s">
        <v>495</v>
      </c>
      <c r="F142" s="11">
        <v>11.0</v>
      </c>
      <c r="G142" s="11" t="s">
        <v>656</v>
      </c>
      <c r="H142" s="11" t="s">
        <v>33</v>
      </c>
      <c r="I142" s="11">
        <f t="shared" ref="I142:J142" si="141">+1</f>
        <v>1</v>
      </c>
      <c r="J142" s="11">
        <f t="shared" si="141"/>
        <v>1</v>
      </c>
      <c r="K142" s="11">
        <f>+2</f>
        <v>2</v>
      </c>
      <c r="L142" s="11">
        <v>-1.0</v>
      </c>
      <c r="M142" s="11">
        <f t="shared" si="142"/>
        <v>1</v>
      </c>
      <c r="N142" s="11">
        <v>-2.0</v>
      </c>
      <c r="O142" s="11" t="s">
        <v>13</v>
      </c>
      <c r="P142" s="13">
        <v>2.0</v>
      </c>
      <c r="Q142" s="11"/>
      <c r="R142" s="11"/>
      <c r="S142" s="11"/>
      <c r="T142" s="11"/>
      <c r="U142" s="11"/>
      <c r="V142" s="11"/>
      <c r="W142" s="11"/>
      <c r="X142" s="11"/>
      <c r="Y142" s="11"/>
      <c r="Z142" s="11"/>
      <c r="AA142" s="11"/>
      <c r="AB142" s="11"/>
    </row>
    <row r="143" ht="15.75" customHeight="1">
      <c r="A143" s="11" t="s">
        <v>657</v>
      </c>
      <c r="B143" s="12">
        <v>6.0</v>
      </c>
      <c r="C143" s="11" t="s">
        <v>30</v>
      </c>
      <c r="D143" s="11" t="s">
        <v>658</v>
      </c>
      <c r="E143" s="11">
        <v>11.0</v>
      </c>
      <c r="F143" s="11">
        <v>27.0</v>
      </c>
      <c r="G143" s="11" t="s">
        <v>659</v>
      </c>
      <c r="H143" s="11" t="s">
        <v>40</v>
      </c>
      <c r="I143" s="11">
        <v>-1.0</v>
      </c>
      <c r="J143" s="11">
        <f>+1</f>
        <v>1</v>
      </c>
      <c r="K143" s="11">
        <f>+0</f>
        <v>0</v>
      </c>
      <c r="L143" s="11">
        <f>+3</f>
        <v>3</v>
      </c>
      <c r="M143" s="11">
        <f t="shared" si="142"/>
        <v>1</v>
      </c>
      <c r="N143" s="11">
        <f t="shared" ref="N143:N144" si="143">+0</f>
        <v>0</v>
      </c>
      <c r="O143" s="11" t="s">
        <v>41</v>
      </c>
      <c r="P143" s="13">
        <v>6.0</v>
      </c>
      <c r="Q143" s="11" t="s">
        <v>660</v>
      </c>
      <c r="R143" s="11" t="s">
        <v>661</v>
      </c>
      <c r="S143" s="11" t="s">
        <v>662</v>
      </c>
      <c r="T143" s="11" t="s">
        <v>663</v>
      </c>
      <c r="U143" s="11" t="s">
        <v>664</v>
      </c>
      <c r="V143" s="11"/>
      <c r="W143" s="11"/>
      <c r="X143" s="11"/>
      <c r="Y143" s="11"/>
      <c r="Z143" s="11"/>
      <c r="AA143" s="11"/>
      <c r="AB143" s="11"/>
    </row>
    <row r="144" ht="15.75" customHeight="1">
      <c r="A144" s="11" t="s">
        <v>665</v>
      </c>
      <c r="B144" s="12">
        <v>6.0</v>
      </c>
      <c r="C144" s="11" t="s">
        <v>30</v>
      </c>
      <c r="D144" s="11" t="s">
        <v>666</v>
      </c>
      <c r="E144" s="11">
        <v>15.0</v>
      </c>
      <c r="F144" s="11">
        <v>44.0</v>
      </c>
      <c r="G144" s="11" t="s">
        <v>667</v>
      </c>
      <c r="H144" s="11" t="s">
        <v>40</v>
      </c>
      <c r="I144" s="11">
        <f>+5</f>
        <v>5</v>
      </c>
      <c r="J144" s="11">
        <f>+0</f>
        <v>0</v>
      </c>
      <c r="K144" s="11">
        <f>+4</f>
        <v>4</v>
      </c>
      <c r="L144" s="11">
        <v>-2.0</v>
      </c>
      <c r="M144" s="11">
        <f t="shared" si="142"/>
        <v>1</v>
      </c>
      <c r="N144" s="11">
        <f t="shared" si="143"/>
        <v>0</v>
      </c>
      <c r="O144" s="11" t="s">
        <v>76</v>
      </c>
      <c r="P144" s="13">
        <v>9.0</v>
      </c>
      <c r="Q144" s="11" t="s">
        <v>84</v>
      </c>
      <c r="R144" s="11" t="s">
        <v>414</v>
      </c>
      <c r="S144" s="11"/>
      <c r="T144" s="11"/>
      <c r="U144" s="11"/>
      <c r="V144" s="11"/>
      <c r="W144" s="11"/>
      <c r="X144" s="11"/>
      <c r="Y144" s="11"/>
      <c r="Z144" s="11"/>
      <c r="AA144" s="11"/>
      <c r="AB144" s="11"/>
    </row>
    <row r="145" ht="15.75" customHeight="1">
      <c r="A145" s="11" t="s">
        <v>668</v>
      </c>
      <c r="B145" s="12" t="s">
        <v>44</v>
      </c>
      <c r="C145" s="11" t="s">
        <v>30</v>
      </c>
      <c r="D145" s="11" t="s">
        <v>669</v>
      </c>
      <c r="E145" s="11">
        <v>13.0</v>
      </c>
      <c r="F145" s="11">
        <v>37.0</v>
      </c>
      <c r="G145" s="11" t="s">
        <v>670</v>
      </c>
      <c r="H145" s="14" t="s">
        <v>293</v>
      </c>
      <c r="I145" s="11">
        <f t="shared" ref="I145:J145" si="144">+3</f>
        <v>3</v>
      </c>
      <c r="J145" s="11">
        <f t="shared" si="144"/>
        <v>3</v>
      </c>
      <c r="K145" s="11">
        <f>+1</f>
        <v>1</v>
      </c>
      <c r="L145" s="11">
        <v>-2.0</v>
      </c>
      <c r="M145" s="11">
        <f t="shared" si="142"/>
        <v>1</v>
      </c>
      <c r="N145" s="11">
        <v>-3.0</v>
      </c>
      <c r="O145" s="11" t="s">
        <v>76</v>
      </c>
      <c r="P145" s="13">
        <v>8.0</v>
      </c>
      <c r="Q145" s="11" t="s">
        <v>671</v>
      </c>
      <c r="R145" s="11"/>
      <c r="S145" s="11"/>
      <c r="T145" s="11"/>
      <c r="U145" s="11"/>
      <c r="V145" s="11"/>
      <c r="W145" s="11"/>
      <c r="X145" s="11"/>
      <c r="Y145" s="11"/>
      <c r="Z145" s="11"/>
      <c r="AA145" s="11"/>
      <c r="AB145" s="11"/>
    </row>
    <row r="146" ht="15.75" customHeight="1">
      <c r="A146" s="11" t="s">
        <v>672</v>
      </c>
      <c r="B146" s="12">
        <v>3.0</v>
      </c>
      <c r="C146" s="11" t="s">
        <v>30</v>
      </c>
      <c r="D146" s="11" t="s">
        <v>673</v>
      </c>
      <c r="E146" s="11">
        <v>14.0</v>
      </c>
      <c r="F146" s="11">
        <v>29.0</v>
      </c>
      <c r="G146" s="11" t="s">
        <v>674</v>
      </c>
      <c r="H146" s="14" t="s">
        <v>48</v>
      </c>
      <c r="I146" s="11">
        <f>+4</f>
        <v>4</v>
      </c>
      <c r="J146" s="11">
        <f t="shared" ref="J146:K146" si="145">+2</f>
        <v>2</v>
      </c>
      <c r="K146" s="11">
        <f t="shared" si="145"/>
        <v>2</v>
      </c>
      <c r="L146" s="11">
        <v>-2.0</v>
      </c>
      <c r="M146" s="11">
        <f t="shared" si="142"/>
        <v>1</v>
      </c>
      <c r="N146" s="11">
        <v>-2.0</v>
      </c>
      <c r="O146" s="11" t="s">
        <v>13</v>
      </c>
      <c r="P146" s="13">
        <v>6.0</v>
      </c>
      <c r="Q146" s="11" t="s">
        <v>675</v>
      </c>
      <c r="R146" s="11"/>
      <c r="S146" s="11"/>
      <c r="T146" s="11"/>
      <c r="U146" s="11"/>
      <c r="V146" s="11"/>
      <c r="W146" s="11"/>
      <c r="X146" s="11"/>
      <c r="Y146" s="11"/>
      <c r="Z146" s="11"/>
      <c r="AA146" s="11"/>
      <c r="AB146" s="11"/>
    </row>
    <row r="147" ht="15.75" customHeight="1">
      <c r="A147" s="11" t="s">
        <v>676</v>
      </c>
      <c r="B147" s="12">
        <v>0.125</v>
      </c>
      <c r="C147" s="11" t="s">
        <v>30</v>
      </c>
      <c r="D147" s="11" t="s">
        <v>677</v>
      </c>
      <c r="E147" s="11">
        <v>11.0</v>
      </c>
      <c r="F147" s="11">
        <v>4.0</v>
      </c>
      <c r="G147" s="11" t="s">
        <v>678</v>
      </c>
      <c r="H147" s="11" t="s">
        <v>40</v>
      </c>
      <c r="I147" s="11">
        <f t="shared" ref="I147:J147" si="146">+1</f>
        <v>1</v>
      </c>
      <c r="J147" s="11">
        <f t="shared" si="146"/>
        <v>1</v>
      </c>
      <c r="K147" s="11">
        <f>+0</f>
        <v>0</v>
      </c>
      <c r="L147" s="11">
        <v>-2.0</v>
      </c>
      <c r="M147" s="11">
        <f t="shared" si="142"/>
        <v>1</v>
      </c>
      <c r="N147" s="11">
        <v>-2.0</v>
      </c>
      <c r="O147" s="11" t="s">
        <v>76</v>
      </c>
      <c r="P147" s="13">
        <v>1.0</v>
      </c>
      <c r="Q147" s="11"/>
      <c r="R147" s="11"/>
      <c r="S147" s="11"/>
      <c r="T147" s="11"/>
      <c r="U147" s="11"/>
      <c r="V147" s="11"/>
      <c r="W147" s="11"/>
      <c r="X147" s="11"/>
      <c r="Y147" s="11"/>
      <c r="Z147" s="11"/>
      <c r="AA147" s="11"/>
      <c r="AB147" s="11"/>
    </row>
    <row r="148" ht="15.75" customHeight="1">
      <c r="A148" s="11" t="s">
        <v>679</v>
      </c>
      <c r="B148" s="12">
        <v>6.0</v>
      </c>
      <c r="C148" s="11" t="s">
        <v>30</v>
      </c>
      <c r="D148" s="11" t="s">
        <v>680</v>
      </c>
      <c r="E148" s="11">
        <v>14.0</v>
      </c>
      <c r="F148" s="11">
        <v>38.0</v>
      </c>
      <c r="G148" s="11" t="s">
        <v>681</v>
      </c>
      <c r="H148" s="11" t="s">
        <v>40</v>
      </c>
      <c r="I148" s="11">
        <f>+2</f>
        <v>2</v>
      </c>
      <c r="J148" s="11">
        <f>+1</f>
        <v>1</v>
      </c>
      <c r="K148" s="11">
        <f t="shared" ref="K148:L148" si="147">+2</f>
        <v>2</v>
      </c>
      <c r="L148" s="11">
        <f t="shared" si="147"/>
        <v>2</v>
      </c>
      <c r="M148" s="11">
        <f>+3</f>
        <v>3</v>
      </c>
      <c r="N148" s="11">
        <f>+4</f>
        <v>4</v>
      </c>
      <c r="O148" s="11" t="s">
        <v>13</v>
      </c>
      <c r="P148" s="13">
        <v>8.0</v>
      </c>
      <c r="Q148" s="11" t="s">
        <v>682</v>
      </c>
      <c r="R148" s="11" t="s">
        <v>683</v>
      </c>
      <c r="S148" s="11" t="s">
        <v>684</v>
      </c>
      <c r="T148" s="11"/>
      <c r="U148" s="11"/>
      <c r="V148" s="11"/>
      <c r="W148" s="11"/>
      <c r="X148" s="11"/>
      <c r="Y148" s="11"/>
      <c r="Z148" s="11"/>
      <c r="AA148" s="11"/>
      <c r="AB148" s="11"/>
    </row>
    <row r="149" ht="15.75" customHeight="1">
      <c r="A149" s="11" t="s">
        <v>685</v>
      </c>
      <c r="B149" s="12">
        <v>0.125</v>
      </c>
      <c r="C149" s="11" t="s">
        <v>30</v>
      </c>
      <c r="D149" s="11" t="s">
        <v>686</v>
      </c>
      <c r="E149" s="11">
        <v>11.0</v>
      </c>
      <c r="F149" s="11">
        <v>9.0</v>
      </c>
      <c r="G149" s="11" t="s">
        <v>656</v>
      </c>
      <c r="H149" s="11" t="s">
        <v>687</v>
      </c>
      <c r="I149" s="11">
        <f t="shared" ref="I149:J149" si="148">+1</f>
        <v>1</v>
      </c>
      <c r="J149" s="11">
        <f t="shared" si="148"/>
        <v>1</v>
      </c>
      <c r="K149" s="11">
        <f t="shared" ref="K149:L149" si="149">+0</f>
        <v>0</v>
      </c>
      <c r="L149" s="11">
        <f t="shared" si="149"/>
        <v>0</v>
      </c>
      <c r="M149" s="11">
        <f t="shared" ref="M149:N149" si="150">+1</f>
        <v>1</v>
      </c>
      <c r="N149" s="11">
        <f t="shared" si="150"/>
        <v>1</v>
      </c>
      <c r="O149" s="11" t="s">
        <v>41</v>
      </c>
      <c r="P149" s="13">
        <v>2.0</v>
      </c>
      <c r="Q149" s="11"/>
      <c r="R149" s="11"/>
      <c r="S149" s="11"/>
      <c r="T149" s="11"/>
      <c r="U149" s="11"/>
      <c r="V149" s="11"/>
      <c r="W149" s="11"/>
      <c r="X149" s="11"/>
      <c r="Y149" s="11"/>
      <c r="Z149" s="11"/>
      <c r="AA149" s="11"/>
      <c r="AB149" s="11"/>
    </row>
    <row r="150" ht="15.75" customHeight="1">
      <c r="A150" s="11" t="s">
        <v>688</v>
      </c>
      <c r="B150" s="12">
        <v>2.0</v>
      </c>
      <c r="C150" s="11" t="s">
        <v>30</v>
      </c>
      <c r="D150" s="11" t="s">
        <v>689</v>
      </c>
      <c r="E150" s="11">
        <v>12.0</v>
      </c>
      <c r="F150" s="11">
        <v>23.0</v>
      </c>
      <c r="G150" s="11" t="s">
        <v>690</v>
      </c>
      <c r="H150" s="11" t="s">
        <v>40</v>
      </c>
      <c r="I150" s="11">
        <f>+2</f>
        <v>2</v>
      </c>
      <c r="J150" s="11">
        <f>+0</f>
        <v>0</v>
      </c>
      <c r="K150" s="11">
        <f>+1</f>
        <v>1</v>
      </c>
      <c r="L150" s="11">
        <v>-2.0</v>
      </c>
      <c r="M150" s="11">
        <f>+0</f>
        <v>0</v>
      </c>
      <c r="N150" s="11">
        <v>-3.0</v>
      </c>
      <c r="O150" s="11" t="s">
        <v>76</v>
      </c>
      <c r="P150" s="13">
        <v>5.0</v>
      </c>
      <c r="Q150" s="11" t="s">
        <v>691</v>
      </c>
      <c r="R150" s="11"/>
      <c r="S150" s="11"/>
      <c r="T150" s="11"/>
      <c r="U150" s="11"/>
      <c r="V150" s="11"/>
      <c r="W150" s="11"/>
      <c r="X150" s="11"/>
      <c r="Y150" s="11"/>
      <c r="Z150" s="11"/>
      <c r="AA150" s="11"/>
      <c r="AB150" s="11"/>
    </row>
    <row r="151" ht="15.75" customHeight="1">
      <c r="A151" s="11" t="s">
        <v>692</v>
      </c>
      <c r="B151" s="12">
        <v>3.0</v>
      </c>
      <c r="C151" s="11" t="s">
        <v>30</v>
      </c>
      <c r="D151" s="11" t="s">
        <v>693</v>
      </c>
      <c r="E151" s="11">
        <v>14.0</v>
      </c>
      <c r="F151" s="11">
        <v>34.0</v>
      </c>
      <c r="G151" s="11" t="s">
        <v>694</v>
      </c>
      <c r="H151" s="11" t="s">
        <v>40</v>
      </c>
      <c r="I151" s="11">
        <f>+4</f>
        <v>4</v>
      </c>
      <c r="J151" s="11">
        <f>+1</f>
        <v>1</v>
      </c>
      <c r="K151" s="11">
        <f>+3</f>
        <v>3</v>
      </c>
      <c r="L151" s="11">
        <f>+1</f>
        <v>1</v>
      </c>
      <c r="M151" s="11">
        <f>+2</f>
        <v>2</v>
      </c>
      <c r="N151" s="11">
        <f>+1</f>
        <v>1</v>
      </c>
      <c r="O151" s="11" t="s">
        <v>13</v>
      </c>
      <c r="P151" s="13">
        <v>7.0</v>
      </c>
      <c r="Q151" s="11" t="s">
        <v>695</v>
      </c>
      <c r="R151" s="11"/>
      <c r="S151" s="11"/>
      <c r="T151" s="11"/>
      <c r="U151" s="11"/>
      <c r="V151" s="11"/>
      <c r="W151" s="11"/>
      <c r="X151" s="11"/>
      <c r="Y151" s="11"/>
      <c r="Z151" s="11"/>
      <c r="AA151" s="11"/>
      <c r="AB151" s="11"/>
    </row>
    <row r="152" ht="15.75" customHeight="1">
      <c r="A152" s="11" t="s">
        <v>696</v>
      </c>
      <c r="B152" s="12" t="s">
        <v>44</v>
      </c>
      <c r="C152" s="11" t="s">
        <v>30</v>
      </c>
      <c r="D152" s="11" t="s">
        <v>697</v>
      </c>
      <c r="E152" s="11">
        <v>11.0</v>
      </c>
      <c r="F152" s="11">
        <v>19.0</v>
      </c>
      <c r="G152" s="11" t="s">
        <v>698</v>
      </c>
      <c r="H152" s="11" t="s">
        <v>167</v>
      </c>
      <c r="I152" s="11">
        <f>+3</f>
        <v>3</v>
      </c>
      <c r="J152" s="11">
        <f>+0</f>
        <v>0</v>
      </c>
      <c r="K152" s="11">
        <f>+1</f>
        <v>1</v>
      </c>
      <c r="L152" s="11">
        <v>-2.0</v>
      </c>
      <c r="M152" s="11">
        <f>+0</f>
        <v>0</v>
      </c>
      <c r="N152" s="11">
        <v>-2.0</v>
      </c>
      <c r="O152" s="11" t="s">
        <v>76</v>
      </c>
      <c r="P152" s="13">
        <v>4.0</v>
      </c>
      <c r="Q152" s="11"/>
      <c r="R152" s="11"/>
      <c r="S152" s="11"/>
      <c r="T152" s="11"/>
      <c r="U152" s="11"/>
      <c r="V152" s="11"/>
      <c r="W152" s="11"/>
      <c r="X152" s="11"/>
      <c r="Y152" s="11"/>
      <c r="Z152" s="11"/>
      <c r="AA152" s="11"/>
      <c r="AB152" s="11"/>
    </row>
    <row r="153" ht="15.75" customHeight="1">
      <c r="A153" s="11" t="s">
        <v>699</v>
      </c>
      <c r="B153" s="12" t="s">
        <v>44</v>
      </c>
      <c r="C153" s="11" t="s">
        <v>30</v>
      </c>
      <c r="D153" s="11" t="s">
        <v>700</v>
      </c>
      <c r="E153" s="11">
        <v>17.0</v>
      </c>
      <c r="F153" s="11">
        <v>89.0</v>
      </c>
      <c r="G153" s="11" t="s">
        <v>701</v>
      </c>
      <c r="H153" s="11" t="s">
        <v>40</v>
      </c>
      <c r="I153" s="11">
        <f t="shared" ref="I153:K153" si="151">+4</f>
        <v>4</v>
      </c>
      <c r="J153" s="11">
        <f t="shared" si="151"/>
        <v>4</v>
      </c>
      <c r="K153" s="11">
        <f t="shared" si="151"/>
        <v>4</v>
      </c>
      <c r="L153" s="11">
        <f>+5</f>
        <v>5</v>
      </c>
      <c r="M153" s="11">
        <f>+4</f>
        <v>4</v>
      </c>
      <c r="N153" s="11">
        <f>+5</f>
        <v>5</v>
      </c>
      <c r="O153" s="11" t="s">
        <v>76</v>
      </c>
      <c r="P153" s="13">
        <v>19.0</v>
      </c>
      <c r="Q153" s="11" t="s">
        <v>702</v>
      </c>
      <c r="R153" s="11" t="s">
        <v>703</v>
      </c>
      <c r="S153" s="11" t="s">
        <v>704</v>
      </c>
      <c r="T153" s="11" t="s">
        <v>705</v>
      </c>
      <c r="U153" s="11" t="s">
        <v>706</v>
      </c>
      <c r="V153" s="11" t="s">
        <v>707</v>
      </c>
      <c r="W153" s="11" t="s">
        <v>708</v>
      </c>
      <c r="X153" s="11" t="s">
        <v>709</v>
      </c>
      <c r="Y153" s="11" t="s">
        <v>710</v>
      </c>
      <c r="Z153" s="11" t="s">
        <v>711</v>
      </c>
      <c r="AA153" s="11"/>
      <c r="AB153" s="11"/>
    </row>
    <row r="154" ht="15.75" customHeight="1">
      <c r="A154" s="11" t="s">
        <v>712</v>
      </c>
      <c r="B154" s="12">
        <v>3.0</v>
      </c>
      <c r="C154" s="11" t="s">
        <v>30</v>
      </c>
      <c r="D154" s="11" t="s">
        <v>713</v>
      </c>
      <c r="E154" s="11">
        <v>13.0</v>
      </c>
      <c r="F154" s="11">
        <v>47.0</v>
      </c>
      <c r="G154" s="11" t="s">
        <v>714</v>
      </c>
      <c r="H154" s="11" t="s">
        <v>40</v>
      </c>
      <c r="I154" s="11">
        <f>+3</f>
        <v>3</v>
      </c>
      <c r="J154" s="11">
        <f>+0</f>
        <v>0</v>
      </c>
      <c r="K154" s="11">
        <f t="shared" ref="K154:K155" si="152">+2</f>
        <v>2</v>
      </c>
      <c r="L154" s="11">
        <f>+3</f>
        <v>3</v>
      </c>
      <c r="M154" s="11">
        <f>+2</f>
        <v>2</v>
      </c>
      <c r="N154" s="11">
        <f>+3</f>
        <v>3</v>
      </c>
      <c r="O154" s="11" t="s">
        <v>13</v>
      </c>
      <c r="P154" s="13">
        <v>10.0</v>
      </c>
      <c r="Q154" s="11" t="s">
        <v>643</v>
      </c>
      <c r="R154" s="11" t="s">
        <v>715</v>
      </c>
      <c r="S154" s="11" t="s">
        <v>716</v>
      </c>
      <c r="T154" s="11"/>
      <c r="U154" s="11"/>
      <c r="V154" s="11"/>
      <c r="W154" s="11"/>
      <c r="X154" s="11"/>
      <c r="Y154" s="11"/>
      <c r="Z154" s="11"/>
      <c r="AA154" s="11"/>
      <c r="AB154" s="11"/>
    </row>
    <row r="155" ht="15.75" customHeight="1">
      <c r="A155" s="11" t="s">
        <v>717</v>
      </c>
      <c r="B155" s="12" t="s">
        <v>44</v>
      </c>
      <c r="C155" s="11" t="s">
        <v>30</v>
      </c>
      <c r="D155" s="11" t="s">
        <v>718</v>
      </c>
      <c r="E155" s="11">
        <v>13.0</v>
      </c>
      <c r="F155" s="11">
        <v>15.0</v>
      </c>
      <c r="G155" s="11" t="s">
        <v>719</v>
      </c>
      <c r="H155" s="14" t="s">
        <v>33</v>
      </c>
      <c r="I155" s="11">
        <f>+2</f>
        <v>2</v>
      </c>
      <c r="J155" s="11">
        <v>-1.0</v>
      </c>
      <c r="K155" s="11">
        <f t="shared" si="152"/>
        <v>2</v>
      </c>
      <c r="L155" s="11">
        <f>+0</f>
        <v>0</v>
      </c>
      <c r="M155" s="11">
        <f>+1</f>
        <v>1</v>
      </c>
      <c r="N155" s="11">
        <f>+0</f>
        <v>0</v>
      </c>
      <c r="O155" s="11" t="s">
        <v>76</v>
      </c>
      <c r="P155" s="13">
        <v>3.0</v>
      </c>
      <c r="Q155" s="11" t="s">
        <v>233</v>
      </c>
      <c r="R155" s="11" t="s">
        <v>720</v>
      </c>
      <c r="S155" s="11"/>
      <c r="T155" s="11"/>
      <c r="U155" s="11"/>
      <c r="V155" s="11"/>
      <c r="W155" s="11"/>
      <c r="X155" s="11"/>
      <c r="Y155" s="11"/>
      <c r="Z155" s="11"/>
      <c r="AA155" s="11"/>
      <c r="AB155" s="11"/>
    </row>
    <row r="156" ht="15.75" customHeight="1">
      <c r="A156" s="11" t="s">
        <v>721</v>
      </c>
      <c r="B156" s="12">
        <v>8.0</v>
      </c>
      <c r="C156" s="11" t="s">
        <v>30</v>
      </c>
      <c r="D156" s="11" t="s">
        <v>722</v>
      </c>
      <c r="E156" s="11">
        <v>16.0</v>
      </c>
      <c r="F156" s="11">
        <v>43.0</v>
      </c>
      <c r="G156" s="11" t="s">
        <v>723</v>
      </c>
      <c r="H156" s="11" t="s">
        <v>80</v>
      </c>
      <c r="I156" s="11">
        <f>+4</f>
        <v>4</v>
      </c>
      <c r="J156" s="11">
        <f>+1</f>
        <v>1</v>
      </c>
      <c r="K156" s="11">
        <f>+3</f>
        <v>3</v>
      </c>
      <c r="L156" s="11">
        <f t="shared" ref="L156:M156" si="153">+2</f>
        <v>2</v>
      </c>
      <c r="M156" s="11">
        <f t="shared" si="153"/>
        <v>2</v>
      </c>
      <c r="N156" s="11">
        <f t="shared" ref="N156:N157" si="154">+4</f>
        <v>4</v>
      </c>
      <c r="O156" s="11" t="s">
        <v>13</v>
      </c>
      <c r="P156" s="13">
        <v>9.0</v>
      </c>
      <c r="Q156" s="11" t="s">
        <v>358</v>
      </c>
      <c r="R156" s="11" t="s">
        <v>724</v>
      </c>
      <c r="S156" s="11" t="s">
        <v>725</v>
      </c>
      <c r="T156" s="11" t="s">
        <v>726</v>
      </c>
      <c r="U156" s="11"/>
      <c r="V156" s="11"/>
      <c r="W156" s="11"/>
      <c r="X156" s="11"/>
      <c r="Y156" s="11"/>
      <c r="Z156" s="11"/>
      <c r="AA156" s="11"/>
      <c r="AB156" s="11"/>
    </row>
    <row r="157" ht="15.75" customHeight="1">
      <c r="A157" s="11" t="s">
        <v>727</v>
      </c>
      <c r="B157" s="12" t="s">
        <v>44</v>
      </c>
      <c r="C157" s="11" t="s">
        <v>30</v>
      </c>
      <c r="D157" s="11" t="s">
        <v>728</v>
      </c>
      <c r="E157" s="11">
        <v>13.0</v>
      </c>
      <c r="F157" s="11">
        <v>31.0</v>
      </c>
      <c r="G157" s="11" t="s">
        <v>729</v>
      </c>
      <c r="H157" s="11" t="s">
        <v>730</v>
      </c>
      <c r="I157" s="11">
        <f t="shared" ref="I157:I158" si="155">+3</f>
        <v>3</v>
      </c>
      <c r="J157" s="11">
        <f>+2</f>
        <v>2</v>
      </c>
      <c r="K157" s="11">
        <f>+4</f>
        <v>4</v>
      </c>
      <c r="L157" s="11">
        <v>-3.0</v>
      </c>
      <c r="M157" s="11">
        <f>+0</f>
        <v>0</v>
      </c>
      <c r="N157" s="11">
        <f t="shared" si="154"/>
        <v>4</v>
      </c>
      <c r="O157" s="11" t="s">
        <v>13</v>
      </c>
      <c r="P157" s="13">
        <v>6.0</v>
      </c>
      <c r="Q157" s="11" t="s">
        <v>450</v>
      </c>
      <c r="R157" s="11"/>
      <c r="S157" s="11"/>
      <c r="T157" s="11"/>
      <c r="U157" s="11"/>
      <c r="V157" s="11"/>
      <c r="W157" s="11"/>
      <c r="X157" s="11"/>
      <c r="Y157" s="11"/>
      <c r="Z157" s="11"/>
      <c r="AA157" s="11"/>
      <c r="AB157" s="11"/>
    </row>
    <row r="158" ht="15.75" customHeight="1">
      <c r="A158" s="11" t="s">
        <v>731</v>
      </c>
      <c r="B158" s="12">
        <v>3.0</v>
      </c>
      <c r="C158" s="11" t="s">
        <v>30</v>
      </c>
      <c r="D158" s="11" t="s">
        <v>732</v>
      </c>
      <c r="E158" s="11">
        <v>13.0</v>
      </c>
      <c r="F158" s="11">
        <v>29.0</v>
      </c>
      <c r="G158" s="11" t="s">
        <v>733</v>
      </c>
      <c r="H158" s="11" t="s">
        <v>48</v>
      </c>
      <c r="I158" s="11">
        <f t="shared" si="155"/>
        <v>3</v>
      </c>
      <c r="J158" s="11">
        <f t="shared" ref="J158:J159" si="156">+3</f>
        <v>3</v>
      </c>
      <c r="K158" s="11">
        <f>+2</f>
        <v>2</v>
      </c>
      <c r="L158" s="11">
        <v>-1.0</v>
      </c>
      <c r="M158" s="11">
        <f>+1</f>
        <v>1</v>
      </c>
      <c r="N158" s="11">
        <v>-2.0</v>
      </c>
      <c r="O158" s="11" t="s">
        <v>13</v>
      </c>
      <c r="P158" s="13">
        <v>6.0</v>
      </c>
      <c r="Q158" s="11" t="s">
        <v>734</v>
      </c>
      <c r="R158" s="11"/>
      <c r="S158" s="11"/>
      <c r="T158" s="11"/>
      <c r="U158" s="11"/>
      <c r="V158" s="11"/>
      <c r="W158" s="11"/>
      <c r="X158" s="11"/>
      <c r="Y158" s="11"/>
      <c r="Z158" s="11"/>
      <c r="AA158" s="11"/>
      <c r="AB158" s="11"/>
    </row>
    <row r="159" ht="15.75" customHeight="1">
      <c r="A159" s="11" t="s">
        <v>735</v>
      </c>
      <c r="B159" s="12" t="s">
        <v>44</v>
      </c>
      <c r="C159" s="11" t="s">
        <v>30</v>
      </c>
      <c r="D159" s="11" t="s">
        <v>736</v>
      </c>
      <c r="E159" s="11" t="s">
        <v>46</v>
      </c>
      <c r="F159" s="11">
        <v>76.0</v>
      </c>
      <c r="G159" s="11" t="s">
        <v>737</v>
      </c>
      <c r="H159" s="11" t="s">
        <v>738</v>
      </c>
      <c r="I159" s="11">
        <f>+5</f>
        <v>5</v>
      </c>
      <c r="J159" s="11">
        <f t="shared" si="156"/>
        <v>3</v>
      </c>
      <c r="K159" s="11">
        <f>+4</f>
        <v>4</v>
      </c>
      <c r="L159" s="11">
        <f>+3</f>
        <v>3</v>
      </c>
      <c r="M159" s="11">
        <f>+4</f>
        <v>4</v>
      </c>
      <c r="N159" s="11">
        <f>+5</f>
        <v>5</v>
      </c>
      <c r="O159" s="11" t="s">
        <v>13</v>
      </c>
      <c r="P159" s="13">
        <v>16.0</v>
      </c>
      <c r="Q159" s="11" t="s">
        <v>739</v>
      </c>
      <c r="R159" s="11" t="s">
        <v>740</v>
      </c>
      <c r="S159" s="11" t="s">
        <v>741</v>
      </c>
      <c r="T159" s="11" t="s">
        <v>742</v>
      </c>
      <c r="U159" s="11" t="s">
        <v>743</v>
      </c>
      <c r="V159" s="11" t="s">
        <v>744</v>
      </c>
      <c r="W159" s="11"/>
      <c r="X159" s="11"/>
      <c r="Y159" s="11"/>
      <c r="Z159" s="11"/>
      <c r="AA159" s="11"/>
      <c r="AB159" s="11"/>
    </row>
    <row r="160" ht="15.75" customHeight="1">
      <c r="A160" s="11" t="s">
        <v>745</v>
      </c>
      <c r="B160" s="12">
        <v>2.0</v>
      </c>
      <c r="C160" s="11" t="s">
        <v>30</v>
      </c>
      <c r="D160" s="11" t="s">
        <v>746</v>
      </c>
      <c r="E160" s="11">
        <v>9.0</v>
      </c>
      <c r="F160" s="11" t="s">
        <v>747</v>
      </c>
      <c r="G160" s="11" t="s">
        <v>748</v>
      </c>
      <c r="H160" s="14" t="s">
        <v>80</v>
      </c>
      <c r="I160" s="11" t="s">
        <v>749</v>
      </c>
      <c r="J160" s="11">
        <v>-1.0</v>
      </c>
      <c r="K160" s="11" t="s">
        <v>749</v>
      </c>
      <c r="L160" s="11">
        <v>-4.0</v>
      </c>
      <c r="M160" s="11">
        <v>-3.0</v>
      </c>
      <c r="N160" s="11">
        <v>-4.0</v>
      </c>
      <c r="O160" s="11" t="s">
        <v>76</v>
      </c>
      <c r="P160" s="13">
        <v>4.0</v>
      </c>
      <c r="Q160" s="11" t="s">
        <v>750</v>
      </c>
      <c r="R160" s="11"/>
      <c r="S160" s="11"/>
      <c r="T160" s="11"/>
      <c r="U160" s="11"/>
      <c r="V160" s="11"/>
      <c r="W160" s="11"/>
      <c r="X160" s="11"/>
      <c r="Y160" s="11"/>
      <c r="Z160" s="11"/>
      <c r="AA160" s="11"/>
      <c r="AB160" s="11"/>
    </row>
    <row r="161" ht="15.75" customHeight="1">
      <c r="A161" s="11" t="s">
        <v>751</v>
      </c>
      <c r="B161" s="12">
        <v>1.0</v>
      </c>
      <c r="C161" s="11" t="s">
        <v>30</v>
      </c>
      <c r="D161" s="11" t="s">
        <v>752</v>
      </c>
      <c r="E161" s="11">
        <v>13.0</v>
      </c>
      <c r="F161" s="11" t="s">
        <v>753</v>
      </c>
      <c r="G161" s="11" t="s">
        <v>754</v>
      </c>
      <c r="H161" s="14" t="s">
        <v>33</v>
      </c>
      <c r="I161" s="11">
        <v>3.0</v>
      </c>
      <c r="J161" s="11">
        <v>3.0</v>
      </c>
      <c r="K161" s="11">
        <v>1.0</v>
      </c>
      <c r="L161" s="11" t="s">
        <v>755</v>
      </c>
      <c r="M161" s="11">
        <v>1.0</v>
      </c>
      <c r="N161" s="11" t="s">
        <v>756</v>
      </c>
      <c r="O161" s="11" t="s">
        <v>76</v>
      </c>
      <c r="P161" s="13">
        <v>5.0</v>
      </c>
      <c r="Q161" s="11" t="s">
        <v>757</v>
      </c>
      <c r="R161" s="11"/>
      <c r="S161" s="11"/>
      <c r="T161" s="11"/>
      <c r="U161" s="11"/>
      <c r="V161" s="11"/>
      <c r="W161" s="11"/>
      <c r="X161" s="11"/>
      <c r="Y161" s="11"/>
      <c r="Z161" s="11"/>
      <c r="AA161" s="11"/>
      <c r="AB161" s="11"/>
    </row>
    <row r="162" ht="15.75" customHeight="1">
      <c r="A162" s="11" t="s">
        <v>758</v>
      </c>
      <c r="B162" s="12">
        <v>2.0</v>
      </c>
      <c r="C162" s="11" t="s">
        <v>30</v>
      </c>
      <c r="D162" s="11" t="s">
        <v>759</v>
      </c>
      <c r="E162" s="11">
        <v>9.0</v>
      </c>
      <c r="F162" s="11" t="s">
        <v>760</v>
      </c>
      <c r="G162" s="11" t="s">
        <v>761</v>
      </c>
      <c r="H162" s="14" t="s">
        <v>40</v>
      </c>
      <c r="I162" s="11" t="s">
        <v>762</v>
      </c>
      <c r="J162" s="11">
        <v>-1.0</v>
      </c>
      <c r="K162" s="11" t="s">
        <v>763</v>
      </c>
      <c r="L162" s="11">
        <v>-2.0</v>
      </c>
      <c r="M162" s="11">
        <v>-2.0</v>
      </c>
      <c r="N162" s="11">
        <v>-2.0</v>
      </c>
      <c r="O162" s="11" t="s">
        <v>13</v>
      </c>
      <c r="P162" s="13">
        <v>6.0</v>
      </c>
      <c r="Q162" s="11"/>
      <c r="R162" s="11"/>
      <c r="S162" s="11"/>
      <c r="T162" s="11"/>
      <c r="U162" s="11"/>
      <c r="V162" s="11"/>
      <c r="W162" s="11"/>
      <c r="X162" s="11"/>
      <c r="Y162" s="11"/>
      <c r="Z162" s="11"/>
      <c r="AA162" s="11"/>
      <c r="AB162" s="11"/>
    </row>
    <row r="163" ht="15.75" customHeight="1">
      <c r="A163" s="11" t="s">
        <v>764</v>
      </c>
      <c r="B163" s="12">
        <v>7.0</v>
      </c>
      <c r="C163" s="11" t="s">
        <v>30</v>
      </c>
      <c r="D163" s="11" t="s">
        <v>765</v>
      </c>
      <c r="E163" s="11">
        <v>11.0</v>
      </c>
      <c r="F163" s="11" t="s">
        <v>766</v>
      </c>
      <c r="G163" s="11" t="s">
        <v>767</v>
      </c>
      <c r="H163" s="14" t="s">
        <v>40</v>
      </c>
      <c r="I163" s="11" t="s">
        <v>768</v>
      </c>
      <c r="J163" s="11" t="s">
        <v>769</v>
      </c>
      <c r="K163" s="11" t="s">
        <v>749</v>
      </c>
      <c r="L163" s="11" t="s">
        <v>749</v>
      </c>
      <c r="M163" s="11" t="s">
        <v>769</v>
      </c>
      <c r="N163" s="11" t="s">
        <v>763</v>
      </c>
      <c r="O163" s="11" t="s">
        <v>13</v>
      </c>
      <c r="P163" s="13">
        <v>7.0</v>
      </c>
      <c r="Q163" s="11" t="s">
        <v>770</v>
      </c>
      <c r="R163" s="11" t="s">
        <v>771</v>
      </c>
      <c r="S163" s="11" t="s">
        <v>772</v>
      </c>
      <c r="T163" s="11" t="s">
        <v>773</v>
      </c>
      <c r="U163" s="11"/>
      <c r="V163" s="11"/>
      <c r="W163" s="11"/>
      <c r="X163" s="11"/>
      <c r="Y163" s="11"/>
      <c r="Z163" s="11"/>
      <c r="AA163" s="11"/>
      <c r="AB163" s="11"/>
    </row>
    <row r="164" ht="15.75" customHeight="1">
      <c r="A164" s="11" t="s">
        <v>774</v>
      </c>
      <c r="B164" s="12">
        <v>0.5</v>
      </c>
      <c r="C164" s="11" t="s">
        <v>30</v>
      </c>
      <c r="D164" s="11" t="s">
        <v>775</v>
      </c>
      <c r="E164" s="11">
        <v>15.0</v>
      </c>
      <c r="F164" s="11">
        <v>4.0</v>
      </c>
      <c r="G164" s="11" t="s">
        <v>776</v>
      </c>
      <c r="H164" s="11" t="s">
        <v>40</v>
      </c>
      <c r="I164" s="11">
        <f t="shared" ref="I164:I165" si="158">+2</f>
        <v>2</v>
      </c>
      <c r="J164" s="11">
        <f t="shared" ref="J164:K164" si="157">+0</f>
        <v>0</v>
      </c>
      <c r="K164" s="11">
        <f t="shared" si="157"/>
        <v>0</v>
      </c>
      <c r="L164" s="11">
        <v>-1.0</v>
      </c>
      <c r="M164" s="11">
        <f t="shared" ref="M164:M166" si="160">+0</f>
        <v>0</v>
      </c>
      <c r="N164" s="11">
        <v>-1.0</v>
      </c>
      <c r="O164" s="11" t="s">
        <v>13</v>
      </c>
      <c r="P164" s="13">
        <v>1.0</v>
      </c>
      <c r="Q164" s="11" t="s">
        <v>110</v>
      </c>
      <c r="R164" s="11"/>
      <c r="S164" s="11"/>
      <c r="T164" s="11"/>
      <c r="U164" s="11"/>
      <c r="V164" s="11"/>
      <c r="W164" s="11"/>
      <c r="X164" s="11"/>
      <c r="Y164" s="11"/>
      <c r="Z164" s="11"/>
      <c r="AA164" s="11"/>
      <c r="AB164" s="11"/>
    </row>
    <row r="165" ht="15.75" customHeight="1">
      <c r="A165" s="11" t="s">
        <v>777</v>
      </c>
      <c r="B165" s="12">
        <v>4.0</v>
      </c>
      <c r="C165" s="11" t="s">
        <v>30</v>
      </c>
      <c r="D165" s="11" t="s">
        <v>778</v>
      </c>
      <c r="E165" s="11">
        <v>14.0</v>
      </c>
      <c r="F165" s="11">
        <v>19.0</v>
      </c>
      <c r="G165" s="11" t="s">
        <v>779</v>
      </c>
      <c r="H165" s="11" t="s">
        <v>40</v>
      </c>
      <c r="I165" s="11">
        <f t="shared" si="158"/>
        <v>2</v>
      </c>
      <c r="J165" s="11">
        <f t="shared" ref="J165:K165" si="159">+1</f>
        <v>1</v>
      </c>
      <c r="K165" s="11">
        <f t="shared" si="159"/>
        <v>1</v>
      </c>
      <c r="L165" s="11">
        <v>-1.0</v>
      </c>
      <c r="M165" s="11">
        <f t="shared" si="160"/>
        <v>0</v>
      </c>
      <c r="N165" s="11">
        <v>-1.0</v>
      </c>
      <c r="O165" s="11" t="s">
        <v>13</v>
      </c>
      <c r="P165" s="13">
        <v>4.0</v>
      </c>
      <c r="Q165" s="11" t="s">
        <v>110</v>
      </c>
      <c r="R165" s="11"/>
      <c r="S165" s="11"/>
      <c r="T165" s="11"/>
      <c r="U165" s="11"/>
      <c r="V165" s="11"/>
      <c r="W165" s="11"/>
      <c r="X165" s="11"/>
      <c r="Y165" s="11"/>
      <c r="Z165" s="11"/>
      <c r="AA165" s="11"/>
      <c r="AB165" s="11"/>
    </row>
    <row r="166" ht="15.75" customHeight="1">
      <c r="A166" s="11" t="s">
        <v>780</v>
      </c>
      <c r="B166" s="12">
        <v>5.0</v>
      </c>
      <c r="C166" s="11" t="s">
        <v>30</v>
      </c>
      <c r="D166" s="11" t="s">
        <v>781</v>
      </c>
      <c r="E166" s="11">
        <v>13.0</v>
      </c>
      <c r="F166" s="11">
        <v>35.0</v>
      </c>
      <c r="G166" s="14" t="s">
        <v>782</v>
      </c>
      <c r="H166" s="11" t="s">
        <v>40</v>
      </c>
      <c r="I166" s="11">
        <f>+4</f>
        <v>4</v>
      </c>
      <c r="J166" s="11">
        <v>-1.0</v>
      </c>
      <c r="K166" s="11">
        <f>+4</f>
        <v>4</v>
      </c>
      <c r="L166" s="11">
        <v>-2.0</v>
      </c>
      <c r="M166" s="11">
        <f t="shared" si="160"/>
        <v>0</v>
      </c>
      <c r="N166" s="11">
        <v>-3.0</v>
      </c>
      <c r="O166" s="11" t="s">
        <v>76</v>
      </c>
      <c r="P166" s="13">
        <v>7.0</v>
      </c>
      <c r="Q166" s="11" t="s">
        <v>783</v>
      </c>
      <c r="R166" s="11"/>
      <c r="S166" s="11"/>
      <c r="T166" s="11"/>
      <c r="U166" s="11"/>
      <c r="V166" s="11"/>
      <c r="W166" s="11"/>
      <c r="X166" s="11"/>
      <c r="Y166" s="11"/>
      <c r="Z166" s="11"/>
      <c r="AA166" s="11"/>
      <c r="AB166" s="11"/>
    </row>
    <row r="167" ht="15.75" customHeight="1">
      <c r="A167" s="11" t="s">
        <v>784</v>
      </c>
      <c r="B167" s="12" t="s">
        <v>44</v>
      </c>
      <c r="C167" s="11" t="s">
        <v>30</v>
      </c>
      <c r="D167" s="11" t="s">
        <v>785</v>
      </c>
      <c r="E167" s="11">
        <v>9.0</v>
      </c>
      <c r="F167" s="11">
        <v>30.0</v>
      </c>
      <c r="G167" s="11" t="s">
        <v>786</v>
      </c>
      <c r="H167" s="11" t="s">
        <v>80</v>
      </c>
      <c r="I167" s="11">
        <f>+3</f>
        <v>3</v>
      </c>
      <c r="J167" s="11">
        <f>+2</f>
        <v>2</v>
      </c>
      <c r="K167" s="11">
        <f t="shared" ref="K167:K169" si="162">+3</f>
        <v>3</v>
      </c>
      <c r="L167" s="11">
        <v>-4.0</v>
      </c>
      <c r="M167" s="11">
        <v>-3.0</v>
      </c>
      <c r="N167" s="11">
        <v>-4.0</v>
      </c>
      <c r="O167" s="11" t="s">
        <v>13</v>
      </c>
      <c r="P167" s="13">
        <v>6.0</v>
      </c>
      <c r="Q167" s="11" t="s">
        <v>787</v>
      </c>
      <c r="R167" s="11" t="s">
        <v>788</v>
      </c>
      <c r="S167" s="11"/>
      <c r="T167" s="11"/>
      <c r="U167" s="11"/>
      <c r="V167" s="11"/>
      <c r="W167" s="11"/>
      <c r="X167" s="11"/>
      <c r="Y167" s="11"/>
      <c r="Z167" s="11"/>
      <c r="AA167" s="11"/>
      <c r="AB167" s="11"/>
    </row>
    <row r="168" ht="15.75" customHeight="1">
      <c r="A168" s="11" t="s">
        <v>789</v>
      </c>
      <c r="B168" s="12" t="s">
        <v>44</v>
      </c>
      <c r="C168" s="11" t="s">
        <v>30</v>
      </c>
      <c r="D168" s="11" t="s">
        <v>790</v>
      </c>
      <c r="E168" s="11">
        <v>16.0</v>
      </c>
      <c r="F168" s="11">
        <v>43.0</v>
      </c>
      <c r="G168" s="11" t="s">
        <v>791</v>
      </c>
      <c r="H168" s="11" t="s">
        <v>55</v>
      </c>
      <c r="I168" s="11">
        <f t="shared" ref="I168:J168" si="161">+4</f>
        <v>4</v>
      </c>
      <c r="J168" s="11">
        <f t="shared" si="161"/>
        <v>4</v>
      </c>
      <c r="K168" s="11">
        <f t="shared" si="162"/>
        <v>3</v>
      </c>
      <c r="L168" s="11">
        <f t="shared" ref="L168:N168" si="163">+2</f>
        <v>2</v>
      </c>
      <c r="M168" s="11">
        <f t="shared" si="163"/>
        <v>2</v>
      </c>
      <c r="N168" s="11">
        <f t="shared" si="163"/>
        <v>2</v>
      </c>
      <c r="O168" s="11" t="s">
        <v>13</v>
      </c>
      <c r="P168" s="13">
        <v>9.0</v>
      </c>
      <c r="Q168" s="11" t="s">
        <v>792</v>
      </c>
      <c r="R168" s="11" t="s">
        <v>793</v>
      </c>
      <c r="S168" s="11"/>
      <c r="T168" s="11"/>
      <c r="U168" s="11"/>
      <c r="V168" s="11"/>
      <c r="W168" s="11"/>
      <c r="X168" s="11"/>
      <c r="Y168" s="11"/>
      <c r="Z168" s="11"/>
      <c r="AA168" s="11"/>
      <c r="AB168" s="11"/>
    </row>
    <row r="169" ht="15.75" customHeight="1">
      <c r="A169" s="11" t="s">
        <v>794</v>
      </c>
      <c r="B169" s="12" t="s">
        <v>44</v>
      </c>
      <c r="C169" s="11" t="s">
        <v>30</v>
      </c>
      <c r="D169" s="11" t="s">
        <v>795</v>
      </c>
      <c r="E169" s="11">
        <v>13.0</v>
      </c>
      <c r="F169" s="11">
        <v>34.0</v>
      </c>
      <c r="G169" s="11" t="s">
        <v>796</v>
      </c>
      <c r="H169" s="11" t="s">
        <v>55</v>
      </c>
      <c r="I169" s="11">
        <f>+4</f>
        <v>4</v>
      </c>
      <c r="J169" s="11">
        <f>+1</f>
        <v>1</v>
      </c>
      <c r="K169" s="11">
        <f t="shared" si="162"/>
        <v>3</v>
      </c>
      <c r="L169" s="11">
        <f>+0</f>
        <v>0</v>
      </c>
      <c r="M169" s="11">
        <f t="shared" ref="M169:M170" si="165">+1</f>
        <v>1</v>
      </c>
      <c r="N169" s="11">
        <v>-1.0</v>
      </c>
      <c r="O169" s="11" t="s">
        <v>13</v>
      </c>
      <c r="P169" s="13">
        <v>7.0</v>
      </c>
      <c r="Q169" s="11" t="s">
        <v>792</v>
      </c>
      <c r="R169" s="11" t="s">
        <v>797</v>
      </c>
      <c r="S169" s="11"/>
      <c r="T169" s="11"/>
      <c r="U169" s="11"/>
      <c r="V169" s="11"/>
      <c r="W169" s="11"/>
      <c r="X169" s="11"/>
      <c r="Y169" s="11"/>
      <c r="Z169" s="11"/>
      <c r="AA169" s="11"/>
      <c r="AB169" s="11"/>
    </row>
    <row r="170" ht="15.75" customHeight="1">
      <c r="A170" s="11" t="s">
        <v>798</v>
      </c>
      <c r="B170" s="12" t="s">
        <v>44</v>
      </c>
      <c r="C170" s="11" t="s">
        <v>30</v>
      </c>
      <c r="D170" s="11" t="s">
        <v>799</v>
      </c>
      <c r="E170" s="11">
        <v>13.0</v>
      </c>
      <c r="F170" s="11">
        <v>23.0</v>
      </c>
      <c r="G170" s="11" t="s">
        <v>800</v>
      </c>
      <c r="H170" s="11" t="s">
        <v>80</v>
      </c>
      <c r="I170" s="11">
        <f t="shared" ref="I170:J170" si="164">+3</f>
        <v>3</v>
      </c>
      <c r="J170" s="11">
        <f t="shared" si="164"/>
        <v>3</v>
      </c>
      <c r="K170" s="11">
        <f>+1</f>
        <v>1</v>
      </c>
      <c r="L170" s="11">
        <v>-1.0</v>
      </c>
      <c r="M170" s="11">
        <f t="shared" si="165"/>
        <v>1</v>
      </c>
      <c r="N170" s="11">
        <v>-2.0</v>
      </c>
      <c r="O170" s="11" t="s">
        <v>13</v>
      </c>
      <c r="P170" s="13">
        <v>5.0</v>
      </c>
      <c r="Q170" s="11" t="s">
        <v>792</v>
      </c>
      <c r="R170" s="11" t="s">
        <v>801</v>
      </c>
      <c r="S170" s="11" t="s">
        <v>802</v>
      </c>
      <c r="T170" s="11"/>
      <c r="U170" s="11"/>
      <c r="V170" s="11"/>
      <c r="W170" s="11"/>
      <c r="X170" s="11"/>
      <c r="Y170" s="11"/>
      <c r="Z170" s="11"/>
      <c r="AA170" s="11"/>
      <c r="AB170" s="11"/>
    </row>
    <row r="171" ht="15.75" customHeight="1">
      <c r="A171" s="11" t="s">
        <v>803</v>
      </c>
      <c r="B171" s="12">
        <v>3.0</v>
      </c>
      <c r="C171" s="11" t="s">
        <v>30</v>
      </c>
      <c r="D171" s="11" t="s">
        <v>804</v>
      </c>
      <c r="E171" s="11">
        <v>13.0</v>
      </c>
      <c r="F171" s="11">
        <v>30.0</v>
      </c>
      <c r="G171" s="11" t="s">
        <v>805</v>
      </c>
      <c r="H171" s="11" t="s">
        <v>806</v>
      </c>
      <c r="I171" s="11">
        <v>4.0</v>
      </c>
      <c r="J171" s="11">
        <v>1.0</v>
      </c>
      <c r="K171" s="11">
        <v>3.0</v>
      </c>
      <c r="L171" s="11">
        <v>-2.0</v>
      </c>
      <c r="M171" s="11">
        <v>2.0</v>
      </c>
      <c r="N171" s="11">
        <v>-3.0</v>
      </c>
      <c r="O171" s="11" t="s">
        <v>76</v>
      </c>
      <c r="P171" s="13">
        <v>6.0</v>
      </c>
      <c r="Q171" s="11" t="s">
        <v>128</v>
      </c>
      <c r="R171" s="11"/>
      <c r="S171" s="11"/>
      <c r="T171" s="11"/>
      <c r="U171" s="11"/>
      <c r="V171" s="11"/>
      <c r="W171" s="11"/>
      <c r="X171" s="11"/>
      <c r="Y171" s="11"/>
      <c r="Z171" s="11"/>
      <c r="AA171" s="11"/>
      <c r="AB171" s="11"/>
    </row>
    <row r="172" ht="15.75" customHeight="1">
      <c r="A172" s="11" t="s">
        <v>807</v>
      </c>
      <c r="B172" s="12">
        <v>0.25</v>
      </c>
      <c r="C172" s="11" t="s">
        <v>30</v>
      </c>
      <c r="D172" s="11" t="s">
        <v>808</v>
      </c>
      <c r="E172" s="11">
        <v>14.0</v>
      </c>
      <c r="F172" s="11">
        <v>3.0</v>
      </c>
      <c r="G172" s="11" t="s">
        <v>809</v>
      </c>
      <c r="H172" s="11" t="s">
        <v>810</v>
      </c>
      <c r="I172" s="11">
        <v>3.0</v>
      </c>
      <c r="J172" s="11">
        <v>4.0</v>
      </c>
      <c r="K172" s="11">
        <v>1.0</v>
      </c>
      <c r="L172" s="11">
        <v>-2.0</v>
      </c>
      <c r="M172" s="11">
        <v>1.0</v>
      </c>
      <c r="N172" s="11">
        <v>-3.0</v>
      </c>
      <c r="O172" s="11" t="s">
        <v>76</v>
      </c>
      <c r="P172" s="20">
        <v>3.0</v>
      </c>
      <c r="Q172" s="11"/>
      <c r="R172" s="11"/>
      <c r="S172" s="11"/>
      <c r="T172" s="11"/>
      <c r="U172" s="11"/>
      <c r="V172" s="11"/>
      <c r="W172" s="11"/>
      <c r="X172" s="11"/>
      <c r="Y172" s="11"/>
      <c r="Z172" s="11"/>
      <c r="AA172" s="11"/>
      <c r="AB172" s="11"/>
    </row>
    <row r="173" ht="15.75" customHeight="1">
      <c r="A173" s="11" t="s">
        <v>811</v>
      </c>
      <c r="B173" s="12" t="s">
        <v>44</v>
      </c>
      <c r="C173" s="11" t="s">
        <v>30</v>
      </c>
      <c r="D173" s="11" t="s">
        <v>812</v>
      </c>
      <c r="E173" s="11">
        <v>10.0</v>
      </c>
      <c r="F173" s="11">
        <v>4.0</v>
      </c>
      <c r="G173" s="11" t="s">
        <v>813</v>
      </c>
      <c r="H173" s="11" t="s">
        <v>40</v>
      </c>
      <c r="I173" s="11">
        <v>0.0</v>
      </c>
      <c r="J173" s="11">
        <v>0.0</v>
      </c>
      <c r="K173" s="11">
        <v>0.0</v>
      </c>
      <c r="L173" s="11">
        <v>0.0</v>
      </c>
      <c r="M173" s="11">
        <v>0.0</v>
      </c>
      <c r="N173" s="11">
        <v>0.0</v>
      </c>
      <c r="O173" s="11" t="s">
        <v>41</v>
      </c>
      <c r="P173" s="13">
        <v>1.0</v>
      </c>
      <c r="Q173" s="11"/>
      <c r="R173" s="11"/>
      <c r="S173" s="11"/>
      <c r="T173" s="11"/>
      <c r="U173" s="11"/>
      <c r="V173" s="11"/>
      <c r="W173" s="11"/>
      <c r="X173" s="11"/>
      <c r="Y173" s="11"/>
      <c r="Z173" s="11"/>
      <c r="AA173" s="11"/>
      <c r="AB173" s="11"/>
    </row>
    <row r="174" ht="15.75" customHeight="1">
      <c r="A174" s="11" t="s">
        <v>814</v>
      </c>
      <c r="B174" s="12">
        <v>2.0</v>
      </c>
      <c r="C174" s="11" t="s">
        <v>30</v>
      </c>
      <c r="D174" s="11" t="s">
        <v>815</v>
      </c>
      <c r="E174" s="11">
        <v>12.0</v>
      </c>
      <c r="F174" s="11">
        <v>15.0</v>
      </c>
      <c r="G174" s="11" t="s">
        <v>816</v>
      </c>
      <c r="H174" s="11" t="s">
        <v>817</v>
      </c>
      <c r="I174" s="11">
        <v>3.0</v>
      </c>
      <c r="J174" s="11">
        <v>2.0</v>
      </c>
      <c r="K174" s="11">
        <v>2.0</v>
      </c>
      <c r="L174" s="11">
        <v>-3.0</v>
      </c>
      <c r="M174" s="11">
        <v>1.0</v>
      </c>
      <c r="N174" s="11">
        <v>0.0</v>
      </c>
      <c r="O174" s="11" t="s">
        <v>76</v>
      </c>
      <c r="P174" s="13">
        <v>3.0</v>
      </c>
      <c r="Q174" s="11"/>
      <c r="R174" s="11"/>
      <c r="S174" s="11"/>
      <c r="T174" s="11"/>
      <c r="U174" s="11"/>
      <c r="V174" s="11"/>
      <c r="W174" s="11"/>
      <c r="X174" s="11"/>
      <c r="Y174" s="11"/>
      <c r="Z174" s="11"/>
      <c r="AA174" s="11"/>
      <c r="AB174" s="11"/>
    </row>
    <row r="175" ht="15.75" customHeight="1">
      <c r="A175" s="11" t="s">
        <v>818</v>
      </c>
      <c r="B175" s="12" t="s">
        <v>44</v>
      </c>
      <c r="C175" s="11" t="s">
        <v>30</v>
      </c>
      <c r="D175" s="11" t="s">
        <v>819</v>
      </c>
      <c r="E175" s="11">
        <v>16.0</v>
      </c>
      <c r="F175" s="11">
        <v>60.0</v>
      </c>
      <c r="G175" s="11" t="s">
        <v>820</v>
      </c>
      <c r="H175" s="11" t="s">
        <v>48</v>
      </c>
      <c r="I175" s="11">
        <f>+3</f>
        <v>3</v>
      </c>
      <c r="J175" s="11">
        <f>+4</f>
        <v>4</v>
      </c>
      <c r="K175" s="11">
        <f>+2</f>
        <v>2</v>
      </c>
      <c r="L175" s="11">
        <f t="shared" ref="L175:N175" si="166">+3</f>
        <v>3</v>
      </c>
      <c r="M175" s="11">
        <f t="shared" si="166"/>
        <v>3</v>
      </c>
      <c r="N175" s="11">
        <f t="shared" si="166"/>
        <v>3</v>
      </c>
      <c r="O175" s="11" t="s">
        <v>41</v>
      </c>
      <c r="P175" s="13">
        <v>13.0</v>
      </c>
      <c r="Q175" s="11" t="s">
        <v>821</v>
      </c>
      <c r="R175" s="11" t="s">
        <v>822</v>
      </c>
      <c r="S175" s="11" t="s">
        <v>823</v>
      </c>
      <c r="T175" s="11" t="s">
        <v>824</v>
      </c>
      <c r="U175" s="11"/>
      <c r="V175" s="11"/>
      <c r="W175" s="11"/>
      <c r="X175" s="11"/>
      <c r="Y175" s="11"/>
      <c r="Z175" s="11"/>
      <c r="AA175" s="11"/>
      <c r="AB175" s="11"/>
    </row>
    <row r="176" ht="15.75" customHeight="1">
      <c r="A176" s="11" t="s">
        <v>825</v>
      </c>
      <c r="B176" s="12" t="s">
        <v>44</v>
      </c>
      <c r="C176" s="11" t="s">
        <v>30</v>
      </c>
      <c r="D176" s="11" t="s">
        <v>826</v>
      </c>
      <c r="E176" s="11">
        <v>12.0</v>
      </c>
      <c r="F176" s="11">
        <v>13.0</v>
      </c>
      <c r="G176" s="11" t="s">
        <v>827</v>
      </c>
      <c r="H176" s="11" t="s">
        <v>33</v>
      </c>
      <c r="I176" s="11">
        <v>-2.0</v>
      </c>
      <c r="J176" s="11">
        <f>+2</f>
        <v>2</v>
      </c>
      <c r="K176" s="11">
        <f t="shared" ref="K176:K177" si="168">+0</f>
        <v>0</v>
      </c>
      <c r="L176" s="11">
        <v>-3.0</v>
      </c>
      <c r="M176" s="11">
        <f>+0</f>
        <v>0</v>
      </c>
      <c r="N176" s="11">
        <v>-3.0</v>
      </c>
      <c r="O176" s="11" t="s">
        <v>76</v>
      </c>
      <c r="P176" s="13">
        <v>3.0</v>
      </c>
      <c r="Q176" s="11" t="s">
        <v>828</v>
      </c>
      <c r="R176" s="11"/>
      <c r="S176" s="11"/>
      <c r="T176" s="11"/>
      <c r="U176" s="11"/>
      <c r="V176" s="11"/>
      <c r="W176" s="11"/>
      <c r="X176" s="11"/>
      <c r="Y176" s="11"/>
      <c r="Z176" s="11"/>
      <c r="AA176" s="11"/>
      <c r="AB176" s="11"/>
    </row>
    <row r="177" ht="15.75" customHeight="1">
      <c r="A177" s="11" t="s">
        <v>829</v>
      </c>
      <c r="B177" s="12" t="s">
        <v>44</v>
      </c>
      <c r="C177" s="11" t="s">
        <v>30</v>
      </c>
      <c r="D177" s="11" t="s">
        <v>830</v>
      </c>
      <c r="E177" s="11" t="s">
        <v>134</v>
      </c>
      <c r="F177" s="11">
        <v>4.0</v>
      </c>
      <c r="G177" s="11" t="s">
        <v>831</v>
      </c>
      <c r="H177" s="11" t="s">
        <v>40</v>
      </c>
      <c r="I177" s="11">
        <f t="shared" ref="I177:J177" si="167">+1</f>
        <v>1</v>
      </c>
      <c r="J177" s="11">
        <f t="shared" si="167"/>
        <v>1</v>
      </c>
      <c r="K177" s="11">
        <f t="shared" si="168"/>
        <v>0</v>
      </c>
      <c r="L177" s="11">
        <f t="shared" ref="L177:N177" si="169">+0</f>
        <v>0</v>
      </c>
      <c r="M177" s="11">
        <f t="shared" si="169"/>
        <v>0</v>
      </c>
      <c r="N177" s="11">
        <f t="shared" si="169"/>
        <v>0</v>
      </c>
      <c r="O177" s="11" t="s">
        <v>13</v>
      </c>
      <c r="P177" s="13">
        <v>1.0</v>
      </c>
      <c r="Q177" s="11"/>
      <c r="R177" s="11"/>
      <c r="S177" s="11"/>
      <c r="T177" s="11"/>
      <c r="U177" s="11"/>
      <c r="V177" s="11"/>
      <c r="W177" s="11"/>
      <c r="X177" s="11"/>
      <c r="Y177" s="11"/>
      <c r="Z177" s="11"/>
      <c r="AA177" s="11"/>
      <c r="AB177" s="11"/>
    </row>
    <row r="178" ht="15.75" customHeight="1">
      <c r="A178" s="11" t="s">
        <v>832</v>
      </c>
      <c r="B178" s="12">
        <v>2.0</v>
      </c>
      <c r="C178" s="11" t="s">
        <v>30</v>
      </c>
      <c r="D178" s="11" t="s">
        <v>833</v>
      </c>
      <c r="E178" s="11" t="s">
        <v>380</v>
      </c>
      <c r="F178" s="11">
        <v>23.0</v>
      </c>
      <c r="G178" s="11" t="s">
        <v>834</v>
      </c>
      <c r="H178" s="11" t="s">
        <v>40</v>
      </c>
      <c r="I178" s="11">
        <f>+1</f>
        <v>1</v>
      </c>
      <c r="J178" s="11">
        <f>+0</f>
        <v>0</v>
      </c>
      <c r="K178" s="11">
        <f>+1</f>
        <v>1</v>
      </c>
      <c r="L178" s="11">
        <f>+0</f>
        <v>0</v>
      </c>
      <c r="M178" s="11">
        <f>+2</f>
        <v>2</v>
      </c>
      <c r="N178" s="11">
        <f>+1</f>
        <v>1</v>
      </c>
      <c r="O178" s="11" t="s">
        <v>41</v>
      </c>
      <c r="P178" s="13">
        <v>5.0</v>
      </c>
      <c r="Q178" s="11" t="s">
        <v>835</v>
      </c>
      <c r="R178" s="11" t="s">
        <v>836</v>
      </c>
      <c r="S178" s="11" t="s">
        <v>837</v>
      </c>
      <c r="T178" s="11" t="s">
        <v>838</v>
      </c>
      <c r="U178" s="11"/>
      <c r="V178" s="11"/>
      <c r="W178" s="11"/>
      <c r="X178" s="11"/>
      <c r="Y178" s="11"/>
      <c r="Z178" s="11"/>
      <c r="AA178" s="11"/>
      <c r="AB178" s="11"/>
    </row>
    <row r="179" ht="15.75" customHeight="1">
      <c r="A179" s="11" t="s">
        <v>839</v>
      </c>
      <c r="B179" s="12" t="s">
        <v>44</v>
      </c>
      <c r="C179" s="11" t="s">
        <v>30</v>
      </c>
      <c r="D179" s="11" t="s">
        <v>840</v>
      </c>
      <c r="E179" s="11">
        <v>18.0</v>
      </c>
      <c r="F179" s="11">
        <v>57.0</v>
      </c>
      <c r="G179" s="11" t="s">
        <v>841</v>
      </c>
      <c r="H179" s="11" t="s">
        <v>842</v>
      </c>
      <c r="I179" s="11">
        <f>+5</f>
        <v>5</v>
      </c>
      <c r="J179" s="11">
        <f>+1</f>
        <v>1</v>
      </c>
      <c r="K179" s="11">
        <f>+3</f>
        <v>3</v>
      </c>
      <c r="L179" s="11">
        <v>-3.0</v>
      </c>
      <c r="M179" s="11">
        <f>+1</f>
        <v>1</v>
      </c>
      <c r="N179" s="11">
        <v>-3.0</v>
      </c>
      <c r="O179" s="11" t="s">
        <v>76</v>
      </c>
      <c r="P179" s="13">
        <v>12.0</v>
      </c>
      <c r="Q179" s="11" t="s">
        <v>684</v>
      </c>
      <c r="R179" s="11" t="s">
        <v>843</v>
      </c>
      <c r="S179" s="11"/>
      <c r="T179" s="11"/>
      <c r="U179" s="11"/>
      <c r="V179" s="11"/>
      <c r="W179" s="11"/>
      <c r="X179" s="11"/>
      <c r="Y179" s="11"/>
      <c r="Z179" s="11"/>
      <c r="AA179" s="11"/>
      <c r="AB179" s="11"/>
    </row>
    <row r="180" ht="15.75" customHeight="1">
      <c r="A180" s="11" t="s">
        <v>844</v>
      </c>
      <c r="B180" s="12" t="s">
        <v>44</v>
      </c>
      <c r="C180" s="11" t="s">
        <v>30</v>
      </c>
      <c r="D180" s="11" t="s">
        <v>845</v>
      </c>
      <c r="E180" s="11">
        <v>16.0</v>
      </c>
      <c r="F180" s="11">
        <v>39.0</v>
      </c>
      <c r="G180" s="11" t="s">
        <v>846</v>
      </c>
      <c r="H180" s="11" t="s">
        <v>40</v>
      </c>
      <c r="I180" s="11">
        <f>+1</f>
        <v>1</v>
      </c>
      <c r="J180" s="11">
        <f t="shared" ref="J180:M180" si="170">+3</f>
        <v>3</v>
      </c>
      <c r="K180" s="11">
        <f t="shared" si="170"/>
        <v>3</v>
      </c>
      <c r="L180" s="11">
        <f t="shared" si="170"/>
        <v>3</v>
      </c>
      <c r="M180" s="11">
        <f t="shared" si="170"/>
        <v>3</v>
      </c>
      <c r="N180" s="11">
        <f>+4</f>
        <v>4</v>
      </c>
      <c r="O180" s="11" t="s">
        <v>13</v>
      </c>
      <c r="P180" s="13">
        <v>8.0</v>
      </c>
      <c r="Q180" s="11" t="s">
        <v>847</v>
      </c>
      <c r="R180" s="11" t="s">
        <v>848</v>
      </c>
      <c r="S180" s="11" t="s">
        <v>849</v>
      </c>
      <c r="T180" s="11"/>
      <c r="U180" s="11"/>
      <c r="V180" s="11"/>
      <c r="W180" s="11"/>
      <c r="X180" s="11"/>
      <c r="Y180" s="11"/>
      <c r="Z180" s="11"/>
      <c r="AA180" s="11"/>
      <c r="AB180" s="11"/>
    </row>
    <row r="181" ht="15.75" customHeight="1">
      <c r="A181" s="11" t="s">
        <v>850</v>
      </c>
      <c r="B181" s="12">
        <v>0.0</v>
      </c>
      <c r="C181" s="11" t="s">
        <v>30</v>
      </c>
      <c r="D181" s="11" t="s">
        <v>851</v>
      </c>
      <c r="E181" s="11">
        <v>10.0</v>
      </c>
      <c r="F181" s="11">
        <v>1.0</v>
      </c>
      <c r="G181" s="11" t="s">
        <v>852</v>
      </c>
      <c r="H181" s="11" t="s">
        <v>40</v>
      </c>
      <c r="I181" s="11">
        <v>-3.0</v>
      </c>
      <c r="J181" s="11">
        <f>+0</f>
        <v>0</v>
      </c>
      <c r="K181" s="11">
        <f t="shared" ref="K181:K182" si="171">+1</f>
        <v>1</v>
      </c>
      <c r="L181" s="11">
        <v>-3.0</v>
      </c>
      <c r="M181" s="11">
        <f t="shared" ref="M181:M184" si="172">+1</f>
        <v>1</v>
      </c>
      <c r="N181" s="11">
        <v>-3.0</v>
      </c>
      <c r="O181" s="11" t="s">
        <v>76</v>
      </c>
      <c r="P181" s="13">
        <v>0.0</v>
      </c>
      <c r="Q181" s="11" t="s">
        <v>853</v>
      </c>
      <c r="R181" s="11"/>
      <c r="S181" s="11"/>
      <c r="T181" s="11"/>
      <c r="U181" s="11"/>
      <c r="V181" s="11"/>
      <c r="W181" s="11"/>
      <c r="X181" s="11"/>
      <c r="Y181" s="11"/>
      <c r="Z181" s="11"/>
      <c r="AA181" s="11"/>
      <c r="AB181" s="11"/>
    </row>
    <row r="182" ht="15.75" customHeight="1">
      <c r="A182" s="11" t="s">
        <v>854</v>
      </c>
      <c r="B182" s="12" t="s">
        <v>44</v>
      </c>
      <c r="C182" s="11" t="s">
        <v>30</v>
      </c>
      <c r="D182" s="11" t="s">
        <v>855</v>
      </c>
      <c r="E182" s="11">
        <v>12.0</v>
      </c>
      <c r="F182" s="11">
        <v>10.0</v>
      </c>
      <c r="G182" s="11" t="s">
        <v>856</v>
      </c>
      <c r="H182" s="11" t="s">
        <v>40</v>
      </c>
      <c r="I182" s="11">
        <f>+1</f>
        <v>1</v>
      </c>
      <c r="J182" s="11">
        <f>+2</f>
        <v>2</v>
      </c>
      <c r="K182" s="11">
        <f t="shared" si="171"/>
        <v>1</v>
      </c>
      <c r="L182" s="11">
        <v>-2.0</v>
      </c>
      <c r="M182" s="11">
        <f t="shared" si="172"/>
        <v>1</v>
      </c>
      <c r="N182" s="11">
        <v>-2.0</v>
      </c>
      <c r="O182" s="11" t="s">
        <v>76</v>
      </c>
      <c r="P182" s="13">
        <v>2.0</v>
      </c>
      <c r="Q182" s="11" t="s">
        <v>857</v>
      </c>
      <c r="R182" s="11"/>
      <c r="S182" s="11"/>
      <c r="T182" s="11"/>
      <c r="U182" s="11"/>
      <c r="V182" s="11"/>
      <c r="W182" s="11"/>
      <c r="X182" s="11"/>
      <c r="Y182" s="11"/>
      <c r="Z182" s="11"/>
      <c r="AA182" s="11"/>
      <c r="AB182" s="11"/>
    </row>
    <row r="183" ht="15.75" customHeight="1">
      <c r="A183" s="11" t="s">
        <v>858</v>
      </c>
      <c r="B183" s="12">
        <v>0.125</v>
      </c>
      <c r="C183" s="11" t="s">
        <v>30</v>
      </c>
      <c r="D183" s="11" t="s">
        <v>859</v>
      </c>
      <c r="E183" s="11">
        <v>11.0</v>
      </c>
      <c r="F183" s="11">
        <v>5.0</v>
      </c>
      <c r="G183" s="11" t="s">
        <v>860</v>
      </c>
      <c r="H183" s="11" t="s">
        <v>40</v>
      </c>
      <c r="I183" s="11">
        <v>-2.0</v>
      </c>
      <c r="J183" s="11">
        <f t="shared" ref="J183:K183" si="173">+1</f>
        <v>1</v>
      </c>
      <c r="K183" s="11">
        <f t="shared" si="173"/>
        <v>1</v>
      </c>
      <c r="L183" s="11">
        <v>-2.0</v>
      </c>
      <c r="M183" s="11">
        <f t="shared" si="172"/>
        <v>1</v>
      </c>
      <c r="N183" s="11">
        <v>-2.0</v>
      </c>
      <c r="O183" s="11" t="s">
        <v>76</v>
      </c>
      <c r="P183" s="13">
        <v>1.0</v>
      </c>
      <c r="Q183" s="11" t="s">
        <v>857</v>
      </c>
      <c r="R183" s="11"/>
      <c r="S183" s="11"/>
      <c r="T183" s="11"/>
      <c r="U183" s="11"/>
      <c r="V183" s="11"/>
      <c r="W183" s="11"/>
      <c r="X183" s="11"/>
      <c r="Y183" s="11"/>
      <c r="Z183" s="11"/>
      <c r="AA183" s="11"/>
      <c r="AB183" s="11"/>
    </row>
    <row r="184" ht="15.75" customHeight="1">
      <c r="A184" s="11" t="s">
        <v>861</v>
      </c>
      <c r="B184" s="12">
        <v>0.25</v>
      </c>
      <c r="C184" s="11" t="s">
        <v>30</v>
      </c>
      <c r="D184" s="11" t="s">
        <v>862</v>
      </c>
      <c r="E184" s="11">
        <v>10.0</v>
      </c>
      <c r="F184" s="11">
        <v>28.0</v>
      </c>
      <c r="G184" s="11" t="s">
        <v>863</v>
      </c>
      <c r="H184" s="11" t="s">
        <v>40</v>
      </c>
      <c r="I184" s="11">
        <v>-3.0</v>
      </c>
      <c r="J184" s="11">
        <f>+0</f>
        <v>0</v>
      </c>
      <c r="K184" s="11">
        <f>+1</f>
        <v>1</v>
      </c>
      <c r="L184" s="11">
        <v>-3.0</v>
      </c>
      <c r="M184" s="11">
        <f t="shared" si="172"/>
        <v>1</v>
      </c>
      <c r="N184" s="11">
        <v>-3.0</v>
      </c>
      <c r="O184" s="11" t="s">
        <v>76</v>
      </c>
      <c r="P184" s="13">
        <v>6.0</v>
      </c>
      <c r="Q184" s="11" t="s">
        <v>853</v>
      </c>
      <c r="R184" s="11"/>
      <c r="S184" s="11"/>
      <c r="T184" s="11"/>
      <c r="U184" s="11"/>
      <c r="V184" s="11"/>
      <c r="W184" s="11"/>
      <c r="X184" s="11"/>
      <c r="Y184" s="11"/>
      <c r="Z184" s="11"/>
      <c r="AA184" s="11"/>
      <c r="AB184" s="11"/>
    </row>
    <row r="185" ht="15.75" customHeight="1">
      <c r="A185" s="11" t="s">
        <v>864</v>
      </c>
      <c r="B185" s="12" t="s">
        <v>44</v>
      </c>
      <c r="C185" s="11" t="s">
        <v>30</v>
      </c>
      <c r="D185" s="11" t="s">
        <v>865</v>
      </c>
      <c r="E185" s="11">
        <v>17.0</v>
      </c>
      <c r="F185" s="11">
        <v>89.0</v>
      </c>
      <c r="G185" s="11" t="s">
        <v>866</v>
      </c>
      <c r="H185" s="11" t="s">
        <v>48</v>
      </c>
      <c r="I185" s="11">
        <f>+5</f>
        <v>5</v>
      </c>
      <c r="J185" s="11">
        <f>+3</f>
        <v>3</v>
      </c>
      <c r="K185" s="11">
        <f>+4</f>
        <v>4</v>
      </c>
      <c r="L185" s="11">
        <f>+5</f>
        <v>5</v>
      </c>
      <c r="M185" s="11">
        <f>+6</f>
        <v>6</v>
      </c>
      <c r="N185" s="11">
        <f>+5</f>
        <v>5</v>
      </c>
      <c r="O185" s="11" t="s">
        <v>41</v>
      </c>
      <c r="P185" s="13">
        <v>19.0</v>
      </c>
      <c r="Q185" s="11" t="s">
        <v>867</v>
      </c>
      <c r="R185" s="11" t="s">
        <v>868</v>
      </c>
      <c r="S185" s="11" t="s">
        <v>869</v>
      </c>
      <c r="T185" s="11" t="s">
        <v>870</v>
      </c>
      <c r="U185" s="11" t="s">
        <v>871</v>
      </c>
      <c r="V185" s="11" t="s">
        <v>872</v>
      </c>
      <c r="W185" s="11" t="s">
        <v>873</v>
      </c>
      <c r="X185" s="11" t="s">
        <v>874</v>
      </c>
      <c r="Y185" s="11"/>
      <c r="Z185" s="11"/>
      <c r="AA185" s="11"/>
      <c r="AB185" s="11"/>
    </row>
    <row r="186" ht="15.75" customHeight="1">
      <c r="A186" s="11" t="s">
        <v>875</v>
      </c>
      <c r="B186" s="12" t="s">
        <v>44</v>
      </c>
      <c r="C186" s="11" t="s">
        <v>30</v>
      </c>
      <c r="D186" s="11" t="s">
        <v>876</v>
      </c>
      <c r="E186" s="11" t="s">
        <v>53</v>
      </c>
      <c r="F186" s="11">
        <v>28.0</v>
      </c>
      <c r="G186" s="11" t="s">
        <v>877</v>
      </c>
      <c r="H186" s="11" t="s">
        <v>40</v>
      </c>
      <c r="I186" s="11">
        <f>+3</f>
        <v>3</v>
      </c>
      <c r="J186" s="11">
        <f>+0</f>
        <v>0</v>
      </c>
      <c r="K186" s="11">
        <f>+1</f>
        <v>1</v>
      </c>
      <c r="L186" s="11">
        <f t="shared" ref="L186:M186" si="174">+0</f>
        <v>0</v>
      </c>
      <c r="M186" s="11">
        <f t="shared" si="174"/>
        <v>0</v>
      </c>
      <c r="N186" s="11">
        <f>+2</f>
        <v>2</v>
      </c>
      <c r="O186" s="11" t="s">
        <v>13</v>
      </c>
      <c r="P186" s="13">
        <v>6.0</v>
      </c>
      <c r="Q186" s="11" t="s">
        <v>878</v>
      </c>
      <c r="R186" s="11"/>
      <c r="S186" s="11"/>
      <c r="T186" s="11"/>
      <c r="U186" s="11"/>
      <c r="V186" s="11"/>
      <c r="W186" s="11"/>
      <c r="X186" s="11"/>
      <c r="Y186" s="11"/>
      <c r="Z186" s="11"/>
      <c r="AA186" s="11"/>
      <c r="AB186" s="11"/>
    </row>
    <row r="187" ht="15.75" customHeight="1">
      <c r="A187" s="11" t="s">
        <v>879</v>
      </c>
      <c r="B187" s="12">
        <v>11.0</v>
      </c>
      <c r="C187" s="11" t="s">
        <v>30</v>
      </c>
      <c r="D187" s="11" t="s">
        <v>880</v>
      </c>
      <c r="E187" s="11">
        <v>16.0</v>
      </c>
      <c r="F187" s="11">
        <v>47.0</v>
      </c>
      <c r="G187" s="11" t="s">
        <v>881</v>
      </c>
      <c r="H187" s="11" t="s">
        <v>75</v>
      </c>
      <c r="I187" s="11">
        <f>+5</f>
        <v>5</v>
      </c>
      <c r="J187" s="11">
        <f>+1</f>
        <v>1</v>
      </c>
      <c r="K187" s="11">
        <f>+2</f>
        <v>2</v>
      </c>
      <c r="L187" s="11">
        <v>-3.0</v>
      </c>
      <c r="M187" s="11">
        <f>+1</f>
        <v>1</v>
      </c>
      <c r="N187" s="11">
        <v>-3.0</v>
      </c>
      <c r="O187" s="11" t="s">
        <v>76</v>
      </c>
      <c r="P187" s="13">
        <v>10.0</v>
      </c>
      <c r="Q187" s="11" t="s">
        <v>882</v>
      </c>
      <c r="R187" s="11" t="s">
        <v>883</v>
      </c>
      <c r="S187" s="11" t="s">
        <v>884</v>
      </c>
      <c r="T187" s="11"/>
      <c r="U187" s="11"/>
      <c r="V187" s="11"/>
      <c r="W187" s="11"/>
      <c r="X187" s="11"/>
      <c r="Y187" s="11"/>
      <c r="Z187" s="11"/>
      <c r="AA187" s="11"/>
      <c r="AB187" s="11"/>
    </row>
    <row r="188" ht="15.75" customHeight="1">
      <c r="A188" s="11" t="s">
        <v>885</v>
      </c>
      <c r="B188" s="12">
        <v>2.0</v>
      </c>
      <c r="C188" s="11" t="s">
        <v>30</v>
      </c>
      <c r="D188" s="11" t="s">
        <v>886</v>
      </c>
      <c r="E188" s="11">
        <v>14.0</v>
      </c>
      <c r="F188" s="11">
        <v>25.0</v>
      </c>
      <c r="G188" s="11" t="s">
        <v>887</v>
      </c>
      <c r="H188" s="11" t="s">
        <v>40</v>
      </c>
      <c r="I188" s="11">
        <f>+4</f>
        <v>4</v>
      </c>
      <c r="J188" s="11">
        <v>-1.0</v>
      </c>
      <c r="K188" s="11">
        <f>+3</f>
        <v>3</v>
      </c>
      <c r="L188" s="11">
        <v>-3.0</v>
      </c>
      <c r="M188" s="11">
        <f>+0</f>
        <v>0</v>
      </c>
      <c r="N188" s="11">
        <v>-3.0</v>
      </c>
      <c r="O188" s="11" t="s">
        <v>76</v>
      </c>
      <c r="P188" s="13">
        <v>5.0</v>
      </c>
      <c r="Q188" s="11" t="s">
        <v>301</v>
      </c>
      <c r="R188" s="11"/>
      <c r="S188" s="11"/>
      <c r="T188" s="11"/>
      <c r="U188" s="11"/>
      <c r="V188" s="11"/>
      <c r="W188" s="11"/>
      <c r="X188" s="11"/>
      <c r="Y188" s="11"/>
      <c r="Z188" s="11"/>
      <c r="AA188" s="11"/>
      <c r="AB188" s="11"/>
    </row>
    <row r="189" ht="15.75" customHeight="1">
      <c r="A189" s="11" t="s">
        <v>888</v>
      </c>
      <c r="B189" s="12">
        <v>11.0</v>
      </c>
      <c r="C189" s="11" t="s">
        <v>30</v>
      </c>
      <c r="D189" s="11" t="s">
        <v>889</v>
      </c>
      <c r="E189" s="11">
        <v>15.0</v>
      </c>
      <c r="F189" s="11">
        <v>69.0</v>
      </c>
      <c r="G189" s="11" t="s">
        <v>890</v>
      </c>
      <c r="H189" s="11" t="s">
        <v>48</v>
      </c>
      <c r="I189" s="11">
        <f>+5</f>
        <v>5</v>
      </c>
      <c r="J189" s="11">
        <f>+3</f>
        <v>3</v>
      </c>
      <c r="K189" s="11">
        <f>+2</f>
        <v>2</v>
      </c>
      <c r="L189" s="11">
        <v>-2.0</v>
      </c>
      <c r="M189" s="11">
        <f t="shared" ref="M189:M190" si="175">+2</f>
        <v>2</v>
      </c>
      <c r="N189" s="11">
        <v>-2.0</v>
      </c>
      <c r="O189" s="11" t="s">
        <v>76</v>
      </c>
      <c r="P189" s="13">
        <v>15.0</v>
      </c>
      <c r="Q189" s="11" t="s">
        <v>891</v>
      </c>
      <c r="R189" s="11"/>
      <c r="S189" s="11"/>
      <c r="T189" s="11"/>
      <c r="U189" s="11"/>
      <c r="V189" s="11"/>
      <c r="W189" s="11"/>
      <c r="X189" s="11"/>
      <c r="Y189" s="11"/>
      <c r="Z189" s="11"/>
      <c r="AA189" s="11"/>
      <c r="AB189" s="11"/>
    </row>
    <row r="190" ht="15.75" customHeight="1">
      <c r="A190" s="11" t="s">
        <v>892</v>
      </c>
      <c r="B190" s="12">
        <v>5.0</v>
      </c>
      <c r="C190" s="11" t="s">
        <v>30</v>
      </c>
      <c r="D190" s="11" t="s">
        <v>893</v>
      </c>
      <c r="E190" s="11">
        <v>14.0</v>
      </c>
      <c r="F190" s="11">
        <v>31.0</v>
      </c>
      <c r="G190" s="11" t="s">
        <v>894</v>
      </c>
      <c r="H190" s="11" t="s">
        <v>895</v>
      </c>
      <c r="I190" s="11">
        <f>+3</f>
        <v>3</v>
      </c>
      <c r="J190" s="11">
        <v>-2.0</v>
      </c>
      <c r="K190" s="11">
        <f>+4</f>
        <v>4</v>
      </c>
      <c r="L190" s="11">
        <v>-1.0</v>
      </c>
      <c r="M190" s="11">
        <f t="shared" si="175"/>
        <v>2</v>
      </c>
      <c r="N190" s="11">
        <f>+1</f>
        <v>1</v>
      </c>
      <c r="O190" s="11" t="s">
        <v>76</v>
      </c>
      <c r="P190" s="13">
        <v>6.0</v>
      </c>
      <c r="Q190" s="11" t="s">
        <v>896</v>
      </c>
      <c r="R190" s="11" t="s">
        <v>897</v>
      </c>
      <c r="S190" s="11" t="s">
        <v>898</v>
      </c>
      <c r="T190" s="11" t="s">
        <v>899</v>
      </c>
      <c r="U190" s="11"/>
      <c r="V190" s="11"/>
      <c r="W190" s="11"/>
      <c r="X190" s="11"/>
      <c r="Y190" s="11"/>
      <c r="Z190" s="11"/>
      <c r="AA190" s="11"/>
      <c r="AB190" s="11"/>
    </row>
    <row r="191" ht="15.75" customHeight="1">
      <c r="A191" s="11" t="s">
        <v>900</v>
      </c>
      <c r="B191" s="12" t="s">
        <v>44</v>
      </c>
      <c r="C191" s="11" t="s">
        <v>30</v>
      </c>
      <c r="D191" s="11" t="s">
        <v>901</v>
      </c>
      <c r="E191" s="11">
        <v>9.0</v>
      </c>
      <c r="F191" s="11">
        <v>10.0</v>
      </c>
      <c r="G191" s="11" t="s">
        <v>902</v>
      </c>
      <c r="H191" s="11" t="s">
        <v>903</v>
      </c>
      <c r="I191" s="11">
        <f>+1</f>
        <v>1</v>
      </c>
      <c r="J191" s="11">
        <v>-3.0</v>
      </c>
      <c r="K191" s="11">
        <f t="shared" ref="K191:K192" si="176">+1</f>
        <v>1</v>
      </c>
      <c r="L191" s="11">
        <v>-4.0</v>
      </c>
      <c r="M191" s="11">
        <v>-3.0</v>
      </c>
      <c r="N191" s="11">
        <v>-4.0</v>
      </c>
      <c r="O191" s="11" t="s">
        <v>76</v>
      </c>
      <c r="P191" s="13">
        <v>2.0</v>
      </c>
      <c r="Q191" s="11" t="s">
        <v>904</v>
      </c>
      <c r="R191" s="11"/>
      <c r="S191" s="11"/>
      <c r="T191" s="11"/>
      <c r="U191" s="11"/>
      <c r="V191" s="11"/>
      <c r="W191" s="11"/>
      <c r="X191" s="11"/>
      <c r="Y191" s="11"/>
      <c r="Z191" s="11"/>
      <c r="AA191" s="11"/>
      <c r="AB191" s="11"/>
    </row>
    <row r="192" ht="15.75" customHeight="1">
      <c r="A192" s="11" t="s">
        <v>905</v>
      </c>
      <c r="B192" s="12">
        <v>0.5</v>
      </c>
      <c r="C192" s="11" t="s">
        <v>30</v>
      </c>
      <c r="D192" s="11" t="s">
        <v>906</v>
      </c>
      <c r="E192" s="11">
        <v>13.0</v>
      </c>
      <c r="F192" s="11">
        <v>19.0</v>
      </c>
      <c r="G192" s="11" t="s">
        <v>433</v>
      </c>
      <c r="H192" s="11" t="s">
        <v>80</v>
      </c>
      <c r="I192" s="11">
        <f>+2</f>
        <v>2</v>
      </c>
      <c r="J192" s="11">
        <f>+3</f>
        <v>3</v>
      </c>
      <c r="K192" s="11">
        <f t="shared" si="176"/>
        <v>1</v>
      </c>
      <c r="L192" s="11">
        <v>-3.0</v>
      </c>
      <c r="M192" s="11">
        <f>+1</f>
        <v>1</v>
      </c>
      <c r="N192" s="11">
        <v>-3.0</v>
      </c>
      <c r="O192" s="11" t="s">
        <v>76</v>
      </c>
      <c r="P192" s="13">
        <v>4.0</v>
      </c>
      <c r="Q192" s="11" t="s">
        <v>907</v>
      </c>
      <c r="R192" s="11"/>
      <c r="S192" s="11"/>
      <c r="T192" s="11"/>
      <c r="U192" s="11"/>
      <c r="V192" s="11"/>
      <c r="W192" s="11"/>
      <c r="X192" s="11"/>
      <c r="Y192" s="11"/>
      <c r="Z192" s="11"/>
      <c r="AA192" s="11"/>
      <c r="AB192" s="11"/>
    </row>
    <row r="193" ht="15.75" customHeight="1">
      <c r="A193" s="11" t="s">
        <v>908</v>
      </c>
      <c r="B193" s="12">
        <v>0.5</v>
      </c>
      <c r="C193" s="11" t="s">
        <v>30</v>
      </c>
      <c r="D193" s="11" t="s">
        <v>909</v>
      </c>
      <c r="E193" s="11">
        <v>14.0</v>
      </c>
      <c r="F193" s="11">
        <v>9.0</v>
      </c>
      <c r="G193" s="11" t="s">
        <v>910</v>
      </c>
      <c r="H193" s="11" t="s">
        <v>33</v>
      </c>
      <c r="I193" s="11">
        <f t="shared" ref="I193:J193" si="177">+1</f>
        <v>1</v>
      </c>
      <c r="J193" s="11">
        <f t="shared" si="177"/>
        <v>1</v>
      </c>
      <c r="K193" s="11">
        <f>+0</f>
        <v>0</v>
      </c>
      <c r="L193" s="11">
        <v>-1.0</v>
      </c>
      <c r="M193" s="11">
        <f>+0</f>
        <v>0</v>
      </c>
      <c r="N193" s="11">
        <v>-1.0</v>
      </c>
      <c r="O193" s="11" t="s">
        <v>13</v>
      </c>
      <c r="P193" s="13">
        <v>2.0</v>
      </c>
      <c r="Q193" s="11" t="s">
        <v>911</v>
      </c>
      <c r="R193" s="11"/>
      <c r="S193" s="11"/>
      <c r="T193" s="11"/>
      <c r="U193" s="11"/>
      <c r="V193" s="11"/>
      <c r="W193" s="11"/>
      <c r="X193" s="11"/>
      <c r="Y193" s="11"/>
      <c r="Z193" s="11"/>
      <c r="AA193" s="11"/>
      <c r="AB193" s="11"/>
    </row>
    <row r="194" ht="15.75" customHeight="1">
      <c r="A194" s="11" t="s">
        <v>912</v>
      </c>
      <c r="B194" s="12">
        <v>5.0</v>
      </c>
      <c r="C194" s="11" t="s">
        <v>30</v>
      </c>
      <c r="D194" s="11" t="s">
        <v>913</v>
      </c>
      <c r="E194" s="11">
        <v>13.0</v>
      </c>
      <c r="F194" s="11">
        <v>24.0</v>
      </c>
      <c r="G194" s="11" t="s">
        <v>914</v>
      </c>
      <c r="H194" s="11" t="s">
        <v>40</v>
      </c>
      <c r="I194" s="11">
        <f>+2</f>
        <v>2</v>
      </c>
      <c r="J194" s="11">
        <f>+0</f>
        <v>0</v>
      </c>
      <c r="K194" s="11">
        <f>+2</f>
        <v>2</v>
      </c>
      <c r="L194" s="11">
        <v>-1.0</v>
      </c>
      <c r="M194" s="11">
        <f>+1</f>
        <v>1</v>
      </c>
      <c r="N194" s="11">
        <v>-1.0</v>
      </c>
      <c r="O194" s="11" t="s">
        <v>13</v>
      </c>
      <c r="P194" s="13">
        <v>5.0</v>
      </c>
      <c r="Q194" s="11" t="s">
        <v>915</v>
      </c>
      <c r="R194" s="11"/>
      <c r="S194" s="11"/>
      <c r="T194" s="11"/>
      <c r="U194" s="11"/>
      <c r="V194" s="11"/>
      <c r="W194" s="11"/>
      <c r="X194" s="11"/>
      <c r="Y194" s="11"/>
      <c r="Z194" s="11"/>
      <c r="AA194" s="11"/>
      <c r="AB194" s="11"/>
    </row>
    <row r="195" ht="15.75" customHeight="1">
      <c r="A195" s="11" t="s">
        <v>916</v>
      </c>
      <c r="B195" s="12" t="s">
        <v>44</v>
      </c>
      <c r="C195" s="11" t="s">
        <v>30</v>
      </c>
      <c r="D195" s="11" t="s">
        <v>917</v>
      </c>
      <c r="E195" s="11">
        <v>13.0</v>
      </c>
      <c r="F195" s="11">
        <v>14.0</v>
      </c>
      <c r="G195" s="11" t="s">
        <v>918</v>
      </c>
      <c r="H195" s="11" t="s">
        <v>55</v>
      </c>
      <c r="I195" s="11">
        <v>-1.0</v>
      </c>
      <c r="J195" s="11">
        <f>+3</f>
        <v>3</v>
      </c>
      <c r="K195" s="11">
        <f>+1</f>
        <v>1</v>
      </c>
      <c r="L195" s="11">
        <v>-3.0</v>
      </c>
      <c r="M195" s="11">
        <f>+0</f>
        <v>0</v>
      </c>
      <c r="N195" s="11">
        <v>-3.0</v>
      </c>
      <c r="O195" s="11" t="s">
        <v>76</v>
      </c>
      <c r="P195" s="13">
        <v>3.0</v>
      </c>
      <c r="Q195" s="11"/>
      <c r="R195" s="11"/>
      <c r="S195" s="11"/>
      <c r="T195" s="11"/>
      <c r="U195" s="11"/>
      <c r="V195" s="11"/>
      <c r="W195" s="11"/>
      <c r="X195" s="11"/>
      <c r="Y195" s="11"/>
      <c r="Z195" s="11"/>
      <c r="AA195" s="11"/>
      <c r="AB195" s="11"/>
    </row>
    <row r="196" ht="15.75" customHeight="1">
      <c r="A196" s="11" t="s">
        <v>919</v>
      </c>
      <c r="B196" s="12">
        <v>1.0</v>
      </c>
      <c r="C196" s="11" t="s">
        <v>30</v>
      </c>
      <c r="D196" s="11" t="s">
        <v>920</v>
      </c>
      <c r="E196" s="11">
        <v>12.0</v>
      </c>
      <c r="F196" s="11">
        <v>15.0</v>
      </c>
      <c r="G196" s="11" t="s">
        <v>921</v>
      </c>
      <c r="H196" s="11" t="s">
        <v>40</v>
      </c>
      <c r="I196" s="11">
        <f t="shared" ref="I196:K196" si="178">+2</f>
        <v>2</v>
      </c>
      <c r="J196" s="11">
        <f t="shared" si="178"/>
        <v>2</v>
      </c>
      <c r="K196" s="11">
        <f t="shared" si="178"/>
        <v>2</v>
      </c>
      <c r="L196" s="11">
        <f t="shared" ref="L196:M196" si="179">+0</f>
        <v>0</v>
      </c>
      <c r="M196" s="11">
        <f t="shared" si="179"/>
        <v>0</v>
      </c>
      <c r="N196" s="11">
        <f>+2</f>
        <v>2</v>
      </c>
      <c r="O196" s="11" t="s">
        <v>13</v>
      </c>
      <c r="P196" s="13">
        <v>3.0</v>
      </c>
      <c r="Q196" s="11" t="s">
        <v>922</v>
      </c>
      <c r="R196" s="11"/>
      <c r="S196" s="11"/>
      <c r="T196" s="11"/>
      <c r="U196" s="11"/>
      <c r="V196" s="11"/>
      <c r="W196" s="11"/>
      <c r="X196" s="11"/>
      <c r="Y196" s="11"/>
      <c r="Z196" s="11"/>
      <c r="AA196" s="11"/>
      <c r="AB196" s="11"/>
    </row>
    <row r="197" ht="15.75" customHeight="1">
      <c r="A197" s="11" t="s">
        <v>923</v>
      </c>
      <c r="B197" s="12">
        <v>0.0</v>
      </c>
      <c r="C197" s="11" t="s">
        <v>30</v>
      </c>
      <c r="D197" s="11" t="s">
        <v>924</v>
      </c>
      <c r="E197" s="11">
        <v>11.0</v>
      </c>
      <c r="F197" s="11">
        <v>1.0</v>
      </c>
      <c r="G197" s="11" t="s">
        <v>925</v>
      </c>
      <c r="H197" s="11" t="s">
        <v>80</v>
      </c>
      <c r="I197" s="11">
        <v>-4.0</v>
      </c>
      <c r="J197" s="11">
        <f>+1</f>
        <v>1</v>
      </c>
      <c r="K197" s="11">
        <f t="shared" ref="K197:K198" si="181">+0</f>
        <v>0</v>
      </c>
      <c r="L197" s="11">
        <v>-4.0</v>
      </c>
      <c r="M197" s="11">
        <f t="shared" ref="M197:M199" si="182">+0</f>
        <v>0</v>
      </c>
      <c r="N197" s="11">
        <v>-4.0</v>
      </c>
      <c r="O197" s="11" t="s">
        <v>76</v>
      </c>
      <c r="P197" s="13">
        <v>0.0</v>
      </c>
      <c r="Q197" s="11" t="s">
        <v>926</v>
      </c>
      <c r="R197" s="11"/>
      <c r="S197" s="11"/>
      <c r="T197" s="11"/>
      <c r="U197" s="11"/>
      <c r="V197" s="11"/>
      <c r="W197" s="11"/>
      <c r="X197" s="11"/>
      <c r="Y197" s="11"/>
      <c r="Z197" s="11"/>
      <c r="AA197" s="11"/>
      <c r="AB197" s="11"/>
    </row>
    <row r="198" ht="15.75" customHeight="1">
      <c r="A198" s="11" t="s">
        <v>927</v>
      </c>
      <c r="B198" s="12">
        <v>3.0</v>
      </c>
      <c r="C198" s="11" t="s">
        <v>30</v>
      </c>
      <c r="D198" s="11" t="s">
        <v>928</v>
      </c>
      <c r="E198" s="11">
        <v>14.0</v>
      </c>
      <c r="F198" s="11">
        <v>13.0</v>
      </c>
      <c r="G198" s="11" t="s">
        <v>929</v>
      </c>
      <c r="H198" s="11" t="s">
        <v>80</v>
      </c>
      <c r="I198" s="11">
        <f t="shared" ref="I198:J198" si="180">+2</f>
        <v>2</v>
      </c>
      <c r="J198" s="11">
        <f t="shared" si="180"/>
        <v>2</v>
      </c>
      <c r="K198" s="11">
        <f t="shared" si="181"/>
        <v>0</v>
      </c>
      <c r="L198" s="11">
        <v>-4.0</v>
      </c>
      <c r="M198" s="11">
        <f t="shared" si="182"/>
        <v>0</v>
      </c>
      <c r="N198" s="11">
        <v>-4.0</v>
      </c>
      <c r="O198" s="11" t="s">
        <v>76</v>
      </c>
      <c r="P198" s="13">
        <v>3.0</v>
      </c>
      <c r="Q198" s="11" t="s">
        <v>930</v>
      </c>
      <c r="R198" s="11"/>
      <c r="S198" s="11"/>
      <c r="T198" s="11"/>
      <c r="U198" s="11"/>
      <c r="V198" s="11"/>
      <c r="W198" s="11"/>
      <c r="X198" s="11"/>
      <c r="Y198" s="11"/>
      <c r="Z198" s="11"/>
      <c r="AA198" s="11"/>
      <c r="AB198" s="11"/>
    </row>
    <row r="199" ht="15.75" customHeight="1">
      <c r="A199" s="11" t="s">
        <v>931</v>
      </c>
      <c r="B199" s="12">
        <v>0.5</v>
      </c>
      <c r="C199" s="11" t="s">
        <v>30</v>
      </c>
      <c r="D199" s="11" t="s">
        <v>932</v>
      </c>
      <c r="E199" s="11">
        <v>12.0</v>
      </c>
      <c r="F199" s="11">
        <v>15.0</v>
      </c>
      <c r="G199" s="11" t="s">
        <v>933</v>
      </c>
      <c r="H199" s="11" t="s">
        <v>55</v>
      </c>
      <c r="I199" s="11">
        <v>-4.0</v>
      </c>
      <c r="J199" s="11">
        <f t="shared" ref="J199:K199" si="183">+2</f>
        <v>2</v>
      </c>
      <c r="K199" s="11">
        <f t="shared" si="183"/>
        <v>2</v>
      </c>
      <c r="L199" s="11">
        <v>-2.0</v>
      </c>
      <c r="M199" s="11">
        <f t="shared" si="182"/>
        <v>0</v>
      </c>
      <c r="N199" s="11">
        <v>-1.0</v>
      </c>
      <c r="O199" s="11" t="s">
        <v>13</v>
      </c>
      <c r="P199" s="13">
        <v>3.0</v>
      </c>
      <c r="Q199" s="11" t="s">
        <v>934</v>
      </c>
      <c r="R199" s="11"/>
      <c r="S199" s="11"/>
      <c r="T199" s="11"/>
      <c r="U199" s="11"/>
      <c r="V199" s="11"/>
      <c r="W199" s="11"/>
      <c r="X199" s="11"/>
      <c r="Y199" s="11"/>
      <c r="Z199" s="11"/>
      <c r="AA199" s="11"/>
      <c r="AB199" s="11"/>
    </row>
    <row r="200" ht="15.75" customHeight="1">
      <c r="A200" s="11" t="s">
        <v>935</v>
      </c>
      <c r="B200" s="12">
        <v>5.0</v>
      </c>
      <c r="C200" s="11" t="s">
        <v>30</v>
      </c>
      <c r="D200" s="11" t="s">
        <v>936</v>
      </c>
      <c r="E200" s="11">
        <v>14.0</v>
      </c>
      <c r="F200" s="11" t="s">
        <v>747</v>
      </c>
      <c r="G200" s="11" t="s">
        <v>937</v>
      </c>
      <c r="H200" s="14" t="s">
        <v>40</v>
      </c>
      <c r="I200" s="11" t="s">
        <v>763</v>
      </c>
      <c r="J200" s="11" t="s">
        <v>755</v>
      </c>
      <c r="K200" s="11" t="s">
        <v>749</v>
      </c>
      <c r="L200" s="11" t="s">
        <v>756</v>
      </c>
      <c r="M200" s="11" t="s">
        <v>938</v>
      </c>
      <c r="N200" s="11" t="s">
        <v>756</v>
      </c>
      <c r="O200" s="11" t="s">
        <v>76</v>
      </c>
      <c r="P200" s="13">
        <v>4.0</v>
      </c>
      <c r="Q200" s="11" t="s">
        <v>939</v>
      </c>
      <c r="R200" s="11" t="s">
        <v>940</v>
      </c>
      <c r="S200" s="21"/>
      <c r="T200" s="11"/>
      <c r="U200" s="11"/>
      <c r="V200" s="11"/>
      <c r="W200" s="11"/>
      <c r="X200" s="11"/>
      <c r="Y200" s="11"/>
      <c r="Z200" s="11"/>
      <c r="AA200" s="11"/>
      <c r="AB200" s="11"/>
    </row>
    <row r="201" ht="15.75" customHeight="1">
      <c r="A201" s="11" t="s">
        <v>941</v>
      </c>
      <c r="B201" s="12">
        <v>5.0</v>
      </c>
      <c r="C201" s="11" t="s">
        <v>30</v>
      </c>
      <c r="D201" s="11" t="s">
        <v>942</v>
      </c>
      <c r="E201" s="11">
        <v>11.0</v>
      </c>
      <c r="F201" s="11" t="s">
        <v>943</v>
      </c>
      <c r="G201" s="11" t="s">
        <v>944</v>
      </c>
      <c r="H201" s="14" t="s">
        <v>33</v>
      </c>
      <c r="I201" s="11" t="s">
        <v>763</v>
      </c>
      <c r="J201" s="11" t="s">
        <v>769</v>
      </c>
      <c r="K201" s="11" t="s">
        <v>749</v>
      </c>
      <c r="L201" s="11" t="s">
        <v>756</v>
      </c>
      <c r="M201" s="11" t="s">
        <v>769</v>
      </c>
      <c r="N201" s="11" t="s">
        <v>756</v>
      </c>
      <c r="O201" s="11" t="s">
        <v>76</v>
      </c>
      <c r="P201" s="13">
        <v>3.0</v>
      </c>
      <c r="Q201" s="11"/>
      <c r="R201" s="11"/>
      <c r="S201" s="11"/>
      <c r="T201" s="11"/>
      <c r="U201" s="11"/>
      <c r="V201" s="11"/>
      <c r="W201" s="11"/>
      <c r="X201" s="11"/>
      <c r="Y201" s="11"/>
      <c r="Z201" s="11"/>
      <c r="AA201" s="11"/>
      <c r="AB201" s="11"/>
    </row>
    <row r="202" ht="15.75" customHeight="1">
      <c r="A202" s="11" t="s">
        <v>945</v>
      </c>
      <c r="B202" s="12">
        <v>5.0</v>
      </c>
      <c r="C202" s="11" t="s">
        <v>30</v>
      </c>
      <c r="D202" s="11" t="s">
        <v>946</v>
      </c>
      <c r="E202" s="11">
        <v>13.0</v>
      </c>
      <c r="F202" s="11" t="s">
        <v>947</v>
      </c>
      <c r="G202" s="11" t="s">
        <v>948</v>
      </c>
      <c r="H202" s="11" t="s">
        <v>949</v>
      </c>
      <c r="I202" s="11" t="s">
        <v>768</v>
      </c>
      <c r="J202" s="11" t="s">
        <v>769</v>
      </c>
      <c r="K202" s="11" t="s">
        <v>749</v>
      </c>
      <c r="L202" s="11" t="s">
        <v>756</v>
      </c>
      <c r="M202" s="11" t="s">
        <v>769</v>
      </c>
      <c r="N202" s="11" t="s">
        <v>756</v>
      </c>
      <c r="O202" s="11" t="s">
        <v>76</v>
      </c>
      <c r="P202" s="13">
        <v>8.0</v>
      </c>
      <c r="Q202" s="11" t="s">
        <v>220</v>
      </c>
      <c r="R202" s="11"/>
      <c r="S202" s="11"/>
      <c r="T202" s="11"/>
      <c r="U202" s="11"/>
      <c r="V202" s="11"/>
      <c r="W202" s="11"/>
      <c r="X202" s="11"/>
      <c r="Y202" s="11"/>
      <c r="Z202" s="11"/>
      <c r="AA202" s="11"/>
      <c r="AB202" s="11"/>
    </row>
    <row r="203" ht="15.75" customHeight="1">
      <c r="A203" s="11" t="s">
        <v>950</v>
      </c>
      <c r="B203" s="12" t="s">
        <v>44</v>
      </c>
      <c r="C203" s="11" t="s">
        <v>30</v>
      </c>
      <c r="D203" s="11" t="s">
        <v>951</v>
      </c>
      <c r="E203" s="11">
        <v>12.0</v>
      </c>
      <c r="F203" s="11" t="s">
        <v>952</v>
      </c>
      <c r="G203" s="11" t="s">
        <v>953</v>
      </c>
      <c r="H203" s="14" t="s">
        <v>954</v>
      </c>
      <c r="I203" s="11" t="s">
        <v>938</v>
      </c>
      <c r="J203" s="11" t="s">
        <v>749</v>
      </c>
      <c r="K203" s="11" t="s">
        <v>938</v>
      </c>
      <c r="L203" s="11" t="s">
        <v>749</v>
      </c>
      <c r="M203" s="11" t="s">
        <v>749</v>
      </c>
      <c r="N203" s="11" t="s">
        <v>762</v>
      </c>
      <c r="O203" s="11" t="s">
        <v>13</v>
      </c>
      <c r="P203" s="13">
        <v>4.0</v>
      </c>
      <c r="Q203" s="11" t="s">
        <v>955</v>
      </c>
      <c r="R203" s="11"/>
      <c r="S203" s="11"/>
      <c r="T203" s="11"/>
      <c r="U203" s="11"/>
      <c r="V203" s="11"/>
      <c r="W203" s="11"/>
      <c r="X203" s="11"/>
      <c r="Y203" s="11"/>
      <c r="Z203" s="11"/>
      <c r="AA203" s="11"/>
      <c r="AB203" s="11"/>
    </row>
    <row r="204" ht="15.75" customHeight="1">
      <c r="A204" s="11" t="s">
        <v>956</v>
      </c>
      <c r="B204" s="12">
        <v>0.25</v>
      </c>
      <c r="C204" s="11" t="s">
        <v>30</v>
      </c>
      <c r="D204" s="11" t="s">
        <v>957</v>
      </c>
      <c r="E204" s="11" t="s">
        <v>958</v>
      </c>
      <c r="F204" s="11" t="s">
        <v>959</v>
      </c>
      <c r="G204" s="11" t="s">
        <v>960</v>
      </c>
      <c r="H204" s="14" t="s">
        <v>40</v>
      </c>
      <c r="I204" s="11" t="s">
        <v>769</v>
      </c>
      <c r="J204" s="11" t="s">
        <v>938</v>
      </c>
      <c r="K204" s="11" t="s">
        <v>749</v>
      </c>
      <c r="L204" s="11" t="s">
        <v>755</v>
      </c>
      <c r="M204" s="11" t="s">
        <v>938</v>
      </c>
      <c r="N204" s="11" t="s">
        <v>961</v>
      </c>
      <c r="O204" s="11" t="s">
        <v>13</v>
      </c>
      <c r="P204" s="13">
        <v>2.0</v>
      </c>
      <c r="Q204" s="11" t="s">
        <v>444</v>
      </c>
      <c r="R204" s="11"/>
      <c r="S204" s="11"/>
      <c r="T204" s="11"/>
      <c r="U204" s="11"/>
      <c r="V204" s="11"/>
      <c r="W204" s="11"/>
      <c r="X204" s="11"/>
      <c r="Y204" s="11"/>
      <c r="Z204" s="11"/>
      <c r="AA204" s="11"/>
      <c r="AB204" s="11"/>
    </row>
    <row r="205" ht="15.75" customHeight="1">
      <c r="A205" s="11" t="s">
        <v>962</v>
      </c>
      <c r="B205" s="12" t="s">
        <v>44</v>
      </c>
      <c r="C205" s="11" t="s">
        <v>30</v>
      </c>
      <c r="D205" s="11" t="s">
        <v>963</v>
      </c>
      <c r="E205" s="11">
        <v>12.0</v>
      </c>
      <c r="F205" s="11">
        <v>14.0</v>
      </c>
      <c r="G205" s="11" t="s">
        <v>918</v>
      </c>
      <c r="H205" s="11" t="s">
        <v>40</v>
      </c>
      <c r="I205" s="11">
        <f>+3</f>
        <v>3</v>
      </c>
      <c r="J205" s="11">
        <f t="shared" ref="J205:J208" si="184">+2</f>
        <v>2</v>
      </c>
      <c r="K205" s="11">
        <f>+1</f>
        <v>1</v>
      </c>
      <c r="L205" s="11">
        <v>-3.0</v>
      </c>
      <c r="M205" s="11">
        <f>+1</f>
        <v>1</v>
      </c>
      <c r="N205" s="11">
        <v>-3.0</v>
      </c>
      <c r="O205" s="11" t="s">
        <v>76</v>
      </c>
      <c r="P205" s="13">
        <v>3.0</v>
      </c>
      <c r="Q205" s="11"/>
      <c r="R205" s="11"/>
      <c r="S205" s="11"/>
      <c r="T205" s="11"/>
      <c r="U205" s="11"/>
      <c r="V205" s="11"/>
      <c r="W205" s="11"/>
      <c r="X205" s="11"/>
      <c r="Y205" s="11"/>
      <c r="Z205" s="11"/>
      <c r="AA205" s="11"/>
      <c r="AB205" s="11"/>
    </row>
    <row r="206" ht="15.75" customHeight="1">
      <c r="A206" s="11" t="s">
        <v>964</v>
      </c>
      <c r="B206" s="12">
        <v>1.0</v>
      </c>
      <c r="C206" s="11" t="s">
        <v>30</v>
      </c>
      <c r="D206" s="11" t="s">
        <v>965</v>
      </c>
      <c r="E206" s="11">
        <v>12.0</v>
      </c>
      <c r="F206" s="11">
        <v>4.0</v>
      </c>
      <c r="G206" s="11" t="s">
        <v>966</v>
      </c>
      <c r="H206" s="11" t="s">
        <v>40</v>
      </c>
      <c r="I206" s="11">
        <v>-3.0</v>
      </c>
      <c r="J206" s="11">
        <f t="shared" si="184"/>
        <v>2</v>
      </c>
      <c r="K206" s="11">
        <f>+0</f>
        <v>0</v>
      </c>
      <c r="L206" s="11">
        <v>-3.0</v>
      </c>
      <c r="M206" s="11">
        <f t="shared" ref="M206:M208" si="185">+0</f>
        <v>0</v>
      </c>
      <c r="N206" s="11">
        <v>-3.0</v>
      </c>
      <c r="O206" s="11" t="s">
        <v>76</v>
      </c>
      <c r="P206" s="13">
        <v>1.0</v>
      </c>
      <c r="Q206" s="11" t="s">
        <v>967</v>
      </c>
      <c r="R206" s="11"/>
      <c r="S206" s="11"/>
      <c r="T206" s="11"/>
      <c r="U206" s="11"/>
      <c r="V206" s="11"/>
      <c r="W206" s="11"/>
      <c r="X206" s="11"/>
      <c r="Y206" s="11"/>
      <c r="Z206" s="11"/>
      <c r="AA206" s="11"/>
      <c r="AB206" s="11"/>
    </row>
    <row r="207" ht="15.75" customHeight="1">
      <c r="A207" s="11" t="s">
        <v>968</v>
      </c>
      <c r="B207" s="12">
        <v>2.0</v>
      </c>
      <c r="C207" s="11" t="s">
        <v>30</v>
      </c>
      <c r="D207" s="11" t="s">
        <v>969</v>
      </c>
      <c r="E207" s="11">
        <v>12.0</v>
      </c>
      <c r="F207" s="11">
        <v>23.0</v>
      </c>
      <c r="G207" s="11" t="s">
        <v>970</v>
      </c>
      <c r="H207" s="11" t="s">
        <v>80</v>
      </c>
      <c r="I207" s="11">
        <f>+3</f>
        <v>3</v>
      </c>
      <c r="J207" s="11">
        <f t="shared" si="184"/>
        <v>2</v>
      </c>
      <c r="K207" s="11">
        <f t="shared" ref="K207:K209" si="186">+1</f>
        <v>1</v>
      </c>
      <c r="L207" s="11">
        <v>-2.0</v>
      </c>
      <c r="M207" s="11">
        <f t="shared" si="185"/>
        <v>0</v>
      </c>
      <c r="N207" s="11">
        <v>-2.0</v>
      </c>
      <c r="O207" s="11" t="s">
        <v>76</v>
      </c>
      <c r="P207" s="13">
        <v>5.0</v>
      </c>
      <c r="Q207" s="11" t="s">
        <v>971</v>
      </c>
      <c r="R207" s="11"/>
      <c r="S207" s="11"/>
      <c r="T207" s="11"/>
      <c r="U207" s="11"/>
      <c r="V207" s="11"/>
      <c r="W207" s="11"/>
      <c r="X207" s="11"/>
      <c r="Y207" s="11"/>
      <c r="Z207" s="11"/>
      <c r="AA207" s="11"/>
      <c r="AB207" s="11"/>
    </row>
    <row r="208" ht="15.75" customHeight="1">
      <c r="A208" s="11" t="s">
        <v>972</v>
      </c>
      <c r="B208" s="12">
        <v>2.0</v>
      </c>
      <c r="C208" s="11" t="s">
        <v>30</v>
      </c>
      <c r="D208" s="11" t="s">
        <v>973</v>
      </c>
      <c r="E208" s="11">
        <v>12.0</v>
      </c>
      <c r="F208" s="11">
        <v>19.0</v>
      </c>
      <c r="G208" s="11" t="s">
        <v>974</v>
      </c>
      <c r="H208" s="11" t="s">
        <v>40</v>
      </c>
      <c r="I208" s="11">
        <v>-3.0</v>
      </c>
      <c r="J208" s="11">
        <f t="shared" si="184"/>
        <v>2</v>
      </c>
      <c r="K208" s="11">
        <f t="shared" si="186"/>
        <v>1</v>
      </c>
      <c r="L208" s="11">
        <v>-3.0</v>
      </c>
      <c r="M208" s="11">
        <f t="shared" si="185"/>
        <v>0</v>
      </c>
      <c r="N208" s="11">
        <v>-3.0</v>
      </c>
      <c r="O208" s="11" t="s">
        <v>76</v>
      </c>
      <c r="P208" s="13">
        <v>4.0</v>
      </c>
      <c r="Q208" s="11" t="s">
        <v>975</v>
      </c>
      <c r="R208" s="11"/>
      <c r="S208" s="11"/>
      <c r="T208" s="11"/>
      <c r="U208" s="11"/>
      <c r="V208" s="11"/>
      <c r="W208" s="11"/>
      <c r="X208" s="11"/>
      <c r="Y208" s="11"/>
      <c r="Z208" s="11"/>
      <c r="AA208" s="11"/>
      <c r="AB208" s="11"/>
    </row>
    <row r="209" ht="15.75" customHeight="1">
      <c r="A209" s="11" t="s">
        <v>976</v>
      </c>
      <c r="B209" s="15">
        <v>0.5</v>
      </c>
      <c r="C209" s="11" t="s">
        <v>30</v>
      </c>
      <c r="D209" s="11" t="s">
        <v>977</v>
      </c>
      <c r="E209" s="11" t="s">
        <v>380</v>
      </c>
      <c r="F209" s="11">
        <v>10.0</v>
      </c>
      <c r="G209" s="11" t="s">
        <v>978</v>
      </c>
      <c r="H209" s="11" t="s">
        <v>40</v>
      </c>
      <c r="I209" s="11">
        <f>+1</f>
        <v>1</v>
      </c>
      <c r="J209" s="11">
        <f>+0</f>
        <v>0</v>
      </c>
      <c r="K209" s="11">
        <f t="shared" si="186"/>
        <v>1</v>
      </c>
      <c r="L209" s="11">
        <f t="shared" ref="L209:N209" si="187">+0</f>
        <v>0</v>
      </c>
      <c r="M209" s="11">
        <f t="shared" si="187"/>
        <v>0</v>
      </c>
      <c r="N209" s="11">
        <f t="shared" si="187"/>
        <v>0</v>
      </c>
      <c r="O209" s="11" t="s">
        <v>41</v>
      </c>
      <c r="P209" s="13">
        <v>2.0</v>
      </c>
      <c r="Q209" s="11"/>
      <c r="R209" s="11"/>
      <c r="S209" s="11"/>
      <c r="T209" s="11"/>
      <c r="U209" s="11"/>
      <c r="V209" s="11"/>
      <c r="W209" s="11"/>
      <c r="X209" s="11"/>
      <c r="Y209" s="11"/>
      <c r="Z209" s="11"/>
      <c r="AA209" s="11"/>
      <c r="AB209" s="11"/>
    </row>
    <row r="210" ht="15.75" customHeight="1">
      <c r="A210" s="11" t="s">
        <v>979</v>
      </c>
      <c r="B210" s="15">
        <v>11.0</v>
      </c>
      <c r="C210" s="11" t="s">
        <v>30</v>
      </c>
      <c r="D210" s="11" t="s">
        <v>980</v>
      </c>
      <c r="E210" s="11">
        <v>16.0</v>
      </c>
      <c r="F210" s="11">
        <v>42.0</v>
      </c>
      <c r="G210" s="11" t="s">
        <v>981</v>
      </c>
      <c r="H210" s="11" t="s">
        <v>48</v>
      </c>
      <c r="I210" s="11">
        <f>+4</f>
        <v>4</v>
      </c>
      <c r="J210" s="11">
        <f t="shared" ref="J210:J211" si="189">+1</f>
        <v>1</v>
      </c>
      <c r="K210" s="11">
        <f>+2</f>
        <v>2</v>
      </c>
      <c r="L210" s="11">
        <f t="shared" ref="L210:M210" si="188">+4</f>
        <v>4</v>
      </c>
      <c r="M210" s="11">
        <f t="shared" si="188"/>
        <v>4</v>
      </c>
      <c r="N210" s="11">
        <f>+3</f>
        <v>3</v>
      </c>
      <c r="O210" s="11" t="s">
        <v>41</v>
      </c>
      <c r="P210" s="13">
        <v>9.0</v>
      </c>
      <c r="Q210" s="11" t="s">
        <v>982</v>
      </c>
      <c r="R210" s="11" t="s">
        <v>872</v>
      </c>
      <c r="S210" s="11" t="s">
        <v>983</v>
      </c>
      <c r="T210" s="11" t="s">
        <v>984</v>
      </c>
      <c r="U210" s="11" t="s">
        <v>985</v>
      </c>
      <c r="V210" s="11" t="s">
        <v>986</v>
      </c>
      <c r="W210" s="11"/>
      <c r="X210" s="11"/>
      <c r="Y210" s="11"/>
      <c r="Z210" s="11"/>
      <c r="AA210" s="11"/>
      <c r="AB210" s="11"/>
    </row>
    <row r="211" ht="15.75" customHeight="1">
      <c r="A211" s="11" t="s">
        <v>987</v>
      </c>
      <c r="B211" s="12">
        <v>0.0</v>
      </c>
      <c r="C211" s="11" t="s">
        <v>30</v>
      </c>
      <c r="D211" s="11" t="s">
        <v>988</v>
      </c>
      <c r="E211" s="11">
        <v>11.0</v>
      </c>
      <c r="F211" s="11">
        <v>1.0</v>
      </c>
      <c r="G211" s="11" t="s">
        <v>989</v>
      </c>
      <c r="H211" s="11" t="s">
        <v>80</v>
      </c>
      <c r="I211" s="11">
        <v>-4.0</v>
      </c>
      <c r="J211" s="11">
        <f t="shared" si="189"/>
        <v>1</v>
      </c>
      <c r="K211" s="11">
        <f t="shared" ref="K211:K214" si="190">+0</f>
        <v>0</v>
      </c>
      <c r="L211" s="11">
        <v>-4.0</v>
      </c>
      <c r="M211" s="11">
        <f>+0</f>
        <v>0</v>
      </c>
      <c r="N211" s="11">
        <v>-4.0</v>
      </c>
      <c r="O211" s="11" t="s">
        <v>76</v>
      </c>
      <c r="P211" s="13">
        <v>0.0</v>
      </c>
      <c r="Q211" s="11" t="s">
        <v>990</v>
      </c>
      <c r="R211" s="11"/>
      <c r="S211" s="11"/>
      <c r="T211" s="11"/>
      <c r="U211" s="11"/>
      <c r="V211" s="11"/>
      <c r="W211" s="11"/>
      <c r="X211" s="11"/>
      <c r="Y211" s="11"/>
      <c r="Z211" s="11"/>
      <c r="AA211" s="11"/>
      <c r="AB211" s="11"/>
    </row>
    <row r="212" ht="15.75" customHeight="1">
      <c r="A212" s="11" t="s">
        <v>991</v>
      </c>
      <c r="B212" s="12">
        <v>1.0</v>
      </c>
      <c r="C212" s="11" t="s">
        <v>30</v>
      </c>
      <c r="D212" s="11" t="s">
        <v>992</v>
      </c>
      <c r="E212" s="11">
        <v>13.0</v>
      </c>
      <c r="F212" s="11">
        <v>13.0</v>
      </c>
      <c r="G212" s="11" t="s">
        <v>993</v>
      </c>
      <c r="H212" s="11" t="s">
        <v>80</v>
      </c>
      <c r="I212" s="11">
        <f>+2</f>
        <v>2</v>
      </c>
      <c r="J212" s="11">
        <f t="shared" ref="J212:J213" si="191">+3</f>
        <v>3</v>
      </c>
      <c r="K212" s="11">
        <f t="shared" si="190"/>
        <v>0</v>
      </c>
      <c r="L212" s="11">
        <v>-2.0</v>
      </c>
      <c r="M212" s="11">
        <f t="shared" ref="M212:M213" si="192">+1</f>
        <v>1</v>
      </c>
      <c r="N212" s="11">
        <v>-2.0</v>
      </c>
      <c r="O212" s="11" t="s">
        <v>76</v>
      </c>
      <c r="P212" s="13">
        <v>3.0</v>
      </c>
      <c r="Q212" s="11" t="s">
        <v>994</v>
      </c>
      <c r="R212" s="11"/>
      <c r="S212" s="11"/>
      <c r="T212" s="11"/>
      <c r="U212" s="11"/>
      <c r="V212" s="11"/>
      <c r="W212" s="11"/>
      <c r="X212" s="11"/>
      <c r="Y212" s="11"/>
      <c r="Z212" s="11"/>
      <c r="AA212" s="11"/>
      <c r="AB212" s="11"/>
    </row>
    <row r="213" ht="15.75" customHeight="1">
      <c r="A213" s="11" t="s">
        <v>995</v>
      </c>
      <c r="B213" s="12" t="s">
        <v>44</v>
      </c>
      <c r="C213" s="11" t="s">
        <v>30</v>
      </c>
      <c r="D213" s="11" t="s">
        <v>996</v>
      </c>
      <c r="E213" s="11">
        <v>13.0</v>
      </c>
      <c r="F213" s="11">
        <v>9.0</v>
      </c>
      <c r="G213" s="11" t="s">
        <v>993</v>
      </c>
      <c r="H213" s="11" t="s">
        <v>80</v>
      </c>
      <c r="I213" s="11">
        <v>-1.0</v>
      </c>
      <c r="J213" s="11">
        <f t="shared" si="191"/>
        <v>3</v>
      </c>
      <c r="K213" s="11">
        <f t="shared" si="190"/>
        <v>0</v>
      </c>
      <c r="L213" s="11">
        <v>-3.0</v>
      </c>
      <c r="M213" s="11">
        <f t="shared" si="192"/>
        <v>1</v>
      </c>
      <c r="N213" s="11">
        <v>-3.0</v>
      </c>
      <c r="O213" s="11" t="s">
        <v>76</v>
      </c>
      <c r="P213" s="13">
        <v>2.0</v>
      </c>
      <c r="Q213" s="11" t="s">
        <v>182</v>
      </c>
      <c r="R213" s="11"/>
      <c r="S213" s="11"/>
      <c r="T213" s="11"/>
      <c r="U213" s="11"/>
      <c r="V213" s="11"/>
      <c r="W213" s="11"/>
      <c r="X213" s="11"/>
      <c r="Y213" s="11"/>
      <c r="Z213" s="11"/>
      <c r="AA213" s="11"/>
      <c r="AB213" s="11"/>
    </row>
    <row r="214" ht="15.75" customHeight="1">
      <c r="A214" s="11" t="s">
        <v>997</v>
      </c>
      <c r="B214" s="12">
        <v>0.125</v>
      </c>
      <c r="C214" s="11" t="s">
        <v>30</v>
      </c>
      <c r="D214" s="11" t="s">
        <v>998</v>
      </c>
      <c r="E214" s="11">
        <v>12.0</v>
      </c>
      <c r="F214" s="11">
        <v>4.0</v>
      </c>
      <c r="G214" s="11" t="s">
        <v>999</v>
      </c>
      <c r="H214" s="11" t="s">
        <v>55</v>
      </c>
      <c r="I214" s="11">
        <v>-2.0</v>
      </c>
      <c r="J214" s="11">
        <f t="shared" ref="J214:J216" si="193">+2</f>
        <v>2</v>
      </c>
      <c r="K214" s="11">
        <f t="shared" si="190"/>
        <v>0</v>
      </c>
      <c r="L214" s="11">
        <v>-2.0</v>
      </c>
      <c r="M214" s="11">
        <f t="shared" ref="M214:M215" si="194">+0</f>
        <v>0</v>
      </c>
      <c r="N214" s="11">
        <v>-2.0</v>
      </c>
      <c r="O214" s="11" t="s">
        <v>76</v>
      </c>
      <c r="P214" s="13">
        <v>1.0</v>
      </c>
      <c r="Q214" s="11" t="s">
        <v>1000</v>
      </c>
      <c r="R214" s="11"/>
      <c r="S214" s="11"/>
      <c r="T214" s="11"/>
      <c r="U214" s="11"/>
      <c r="V214" s="11"/>
      <c r="W214" s="11"/>
      <c r="X214" s="11"/>
      <c r="Y214" s="11"/>
      <c r="Z214" s="11"/>
      <c r="AA214" s="11"/>
      <c r="AB214" s="11"/>
    </row>
    <row r="215" ht="15.75" customHeight="1">
      <c r="A215" s="11" t="s">
        <v>1001</v>
      </c>
      <c r="B215" s="12" t="s">
        <v>44</v>
      </c>
      <c r="C215" s="11" t="s">
        <v>30</v>
      </c>
      <c r="D215" s="11" t="s">
        <v>1002</v>
      </c>
      <c r="E215" s="11">
        <v>12.0</v>
      </c>
      <c r="F215" s="11">
        <v>14.0</v>
      </c>
      <c r="G215" s="11" t="s">
        <v>1003</v>
      </c>
      <c r="H215" s="11" t="s">
        <v>80</v>
      </c>
      <c r="I215" s="11">
        <v>-2.0</v>
      </c>
      <c r="J215" s="11">
        <f t="shared" si="193"/>
        <v>2</v>
      </c>
      <c r="K215" s="11">
        <f>+1</f>
        <v>1</v>
      </c>
      <c r="L215" s="11">
        <v>-2.0</v>
      </c>
      <c r="M215" s="11">
        <f t="shared" si="194"/>
        <v>0</v>
      </c>
      <c r="N215" s="11">
        <v>-2.0</v>
      </c>
      <c r="O215" s="11" t="s">
        <v>13</v>
      </c>
      <c r="P215" s="13">
        <v>3.0</v>
      </c>
      <c r="Q215" s="11" t="s">
        <v>1004</v>
      </c>
      <c r="R215" s="11" t="s">
        <v>1005</v>
      </c>
      <c r="S215" s="11"/>
      <c r="T215" s="11"/>
      <c r="U215" s="11"/>
      <c r="V215" s="11"/>
      <c r="W215" s="11"/>
      <c r="X215" s="11"/>
      <c r="Y215" s="11"/>
      <c r="Z215" s="11"/>
      <c r="AA215" s="11"/>
      <c r="AB215" s="11"/>
    </row>
    <row r="216" ht="15.75" customHeight="1">
      <c r="A216" s="11" t="s">
        <v>1006</v>
      </c>
      <c r="B216" s="15">
        <v>30.0</v>
      </c>
      <c r="C216" s="11" t="s">
        <v>30</v>
      </c>
      <c r="D216" s="11" t="s">
        <v>1007</v>
      </c>
      <c r="E216" s="11">
        <v>22.0</v>
      </c>
      <c r="F216" s="11">
        <v>140.0</v>
      </c>
      <c r="G216" s="11" t="s">
        <v>1008</v>
      </c>
      <c r="H216" s="11" t="s">
        <v>1009</v>
      </c>
      <c r="I216" s="11">
        <f>+7</f>
        <v>7</v>
      </c>
      <c r="J216" s="11">
        <f t="shared" si="193"/>
        <v>2</v>
      </c>
      <c r="K216" s="11">
        <f>+5</f>
        <v>5</v>
      </c>
      <c r="L216" s="11">
        <v>-3.0</v>
      </c>
      <c r="M216" s="11">
        <f>+1</f>
        <v>1</v>
      </c>
      <c r="N216" s="11">
        <v>-3.0</v>
      </c>
      <c r="O216" s="11" t="s">
        <v>76</v>
      </c>
      <c r="P216" s="13">
        <v>30.0</v>
      </c>
      <c r="Q216" s="11" t="s">
        <v>1010</v>
      </c>
      <c r="R216" s="11" t="s">
        <v>1011</v>
      </c>
      <c r="S216" s="11" t="s">
        <v>1012</v>
      </c>
      <c r="T216" s="11" t="s">
        <v>1013</v>
      </c>
      <c r="U216" s="11" t="s">
        <v>1014</v>
      </c>
      <c r="V216" s="11" t="s">
        <v>1015</v>
      </c>
      <c r="W216" s="11" t="s">
        <v>1016</v>
      </c>
      <c r="X216" s="11" t="s">
        <v>1017</v>
      </c>
      <c r="Y216" s="11"/>
      <c r="Z216" s="11"/>
      <c r="AA216" s="11"/>
      <c r="AB216" s="11"/>
    </row>
    <row r="217" ht="15.75" customHeight="1">
      <c r="A217" s="11" t="s">
        <v>1018</v>
      </c>
      <c r="B217" s="12" t="s">
        <v>44</v>
      </c>
      <c r="C217" s="11" t="s">
        <v>30</v>
      </c>
      <c r="D217" s="11" t="s">
        <v>1019</v>
      </c>
      <c r="E217" s="11">
        <v>17.0</v>
      </c>
      <c r="F217" s="11">
        <v>85.0</v>
      </c>
      <c r="G217" s="11" t="s">
        <v>1020</v>
      </c>
      <c r="H217" s="11" t="s">
        <v>55</v>
      </c>
      <c r="I217" s="11">
        <f>+4</f>
        <v>4</v>
      </c>
      <c r="J217" s="11">
        <f>+5</f>
        <v>5</v>
      </c>
      <c r="K217" s="11">
        <f t="shared" ref="K217:K218" si="197">+4</f>
        <v>4</v>
      </c>
      <c r="L217" s="11">
        <f>+5</f>
        <v>5</v>
      </c>
      <c r="M217" s="11">
        <f t="shared" ref="M217:N217" si="195">+4</f>
        <v>4</v>
      </c>
      <c r="N217" s="11">
        <f t="shared" si="195"/>
        <v>4</v>
      </c>
      <c r="O217" s="11" t="s">
        <v>13</v>
      </c>
      <c r="P217" s="13">
        <v>18.0</v>
      </c>
      <c r="Q217" s="11" t="s">
        <v>1021</v>
      </c>
      <c r="R217" s="11" t="s">
        <v>1022</v>
      </c>
      <c r="S217" s="11"/>
      <c r="T217" s="11"/>
      <c r="U217" s="11"/>
      <c r="V217" s="11"/>
      <c r="W217" s="11"/>
      <c r="X217" s="11"/>
      <c r="Y217" s="11"/>
      <c r="Z217" s="11"/>
      <c r="AA217" s="11"/>
      <c r="AB217" s="11"/>
    </row>
    <row r="218" ht="15.75" customHeight="1">
      <c r="A218" s="11" t="s">
        <v>1023</v>
      </c>
      <c r="B218" s="12" t="s">
        <v>44</v>
      </c>
      <c r="C218" s="11" t="s">
        <v>30</v>
      </c>
      <c r="D218" s="11" t="s">
        <v>1024</v>
      </c>
      <c r="E218" s="11" t="s">
        <v>1025</v>
      </c>
      <c r="F218" s="11">
        <v>71.0</v>
      </c>
      <c r="G218" s="11" t="s">
        <v>1026</v>
      </c>
      <c r="H218" s="11" t="s">
        <v>40</v>
      </c>
      <c r="I218" s="11">
        <f t="shared" ref="I218:J218" si="196">+3</f>
        <v>3</v>
      </c>
      <c r="J218" s="11">
        <f t="shared" si="196"/>
        <v>3</v>
      </c>
      <c r="K218" s="11">
        <f t="shared" si="197"/>
        <v>4</v>
      </c>
      <c r="L218" s="11">
        <f>+3</f>
        <v>3</v>
      </c>
      <c r="M218" s="11">
        <f>+4</f>
        <v>4</v>
      </c>
      <c r="N218" s="11">
        <f>+5</f>
        <v>5</v>
      </c>
      <c r="O218" s="11" t="s">
        <v>41</v>
      </c>
      <c r="P218" s="13">
        <v>15.0</v>
      </c>
      <c r="Q218" s="11" t="s">
        <v>1027</v>
      </c>
      <c r="R218" s="11" t="s">
        <v>1028</v>
      </c>
      <c r="S218" s="11" t="s">
        <v>1029</v>
      </c>
      <c r="T218" s="11" t="s">
        <v>1030</v>
      </c>
      <c r="U218" s="11" t="s">
        <v>1031</v>
      </c>
      <c r="V218" s="11" t="s">
        <v>1032</v>
      </c>
      <c r="W218" s="11" t="s">
        <v>1033</v>
      </c>
      <c r="X218" s="11"/>
      <c r="Y218" s="11"/>
      <c r="Z218" s="11"/>
      <c r="AA218" s="11"/>
      <c r="AB218" s="11"/>
    </row>
    <row r="219" ht="15.75" customHeight="1">
      <c r="A219" s="11" t="s">
        <v>1034</v>
      </c>
      <c r="B219" s="12" t="s">
        <v>44</v>
      </c>
      <c r="C219" s="11" t="s">
        <v>30</v>
      </c>
      <c r="D219" s="11" t="s">
        <v>1035</v>
      </c>
      <c r="E219" s="11" t="s">
        <v>1036</v>
      </c>
      <c r="F219" s="11" t="s">
        <v>1037</v>
      </c>
      <c r="G219" s="11" t="s">
        <v>1038</v>
      </c>
      <c r="H219" s="14" t="s">
        <v>40</v>
      </c>
      <c r="I219" s="11" t="s">
        <v>938</v>
      </c>
      <c r="J219" s="11" t="s">
        <v>749</v>
      </c>
      <c r="K219" s="11" t="s">
        <v>938</v>
      </c>
      <c r="L219" s="11" t="s">
        <v>938</v>
      </c>
      <c r="M219" s="11" t="s">
        <v>938</v>
      </c>
      <c r="N219" s="11" t="s">
        <v>769</v>
      </c>
      <c r="O219" s="11" t="s">
        <v>76</v>
      </c>
      <c r="P219" s="13">
        <v>3.0</v>
      </c>
      <c r="Q219" s="11" t="s">
        <v>1039</v>
      </c>
      <c r="R219" s="11" t="s">
        <v>1040</v>
      </c>
      <c r="S219" s="11"/>
      <c r="T219" s="11"/>
      <c r="U219" s="11"/>
      <c r="V219" s="11"/>
      <c r="W219" s="11"/>
      <c r="X219" s="11"/>
      <c r="Y219" s="11"/>
      <c r="Z219" s="11"/>
      <c r="AA219" s="11"/>
      <c r="AB219" s="11"/>
    </row>
    <row r="220" ht="15.75" customHeight="1">
      <c r="A220" s="11" t="s">
        <v>1041</v>
      </c>
      <c r="B220" s="12">
        <v>0.5</v>
      </c>
      <c r="C220" s="11" t="s">
        <v>30</v>
      </c>
      <c r="D220" s="11" t="s">
        <v>1042</v>
      </c>
      <c r="E220" s="11" t="s">
        <v>1043</v>
      </c>
      <c r="F220" s="11" t="s">
        <v>762</v>
      </c>
      <c r="G220" s="11" t="s">
        <v>1044</v>
      </c>
      <c r="H220" s="14" t="s">
        <v>40</v>
      </c>
      <c r="I220" s="11" t="s">
        <v>769</v>
      </c>
      <c r="J220" s="11" t="s">
        <v>938</v>
      </c>
      <c r="K220" s="11" t="s">
        <v>938</v>
      </c>
      <c r="L220" s="11" t="s">
        <v>961</v>
      </c>
      <c r="M220" s="11" t="s">
        <v>769</v>
      </c>
      <c r="N220" s="11" t="s">
        <v>961</v>
      </c>
      <c r="O220" s="11" t="s">
        <v>13</v>
      </c>
      <c r="P220" s="13">
        <v>1.0</v>
      </c>
      <c r="Q220" s="11"/>
      <c r="R220" s="11"/>
      <c r="S220" s="11"/>
      <c r="T220" s="11"/>
      <c r="U220" s="11"/>
      <c r="V220" s="11"/>
      <c r="W220" s="11"/>
      <c r="X220" s="11"/>
      <c r="Y220" s="11"/>
      <c r="Z220" s="11"/>
      <c r="AA220" s="11"/>
      <c r="AB220" s="11"/>
    </row>
    <row r="221" ht="15.75" customHeight="1">
      <c r="A221" s="11" t="s">
        <v>1045</v>
      </c>
      <c r="B221" s="12">
        <v>9.0</v>
      </c>
      <c r="C221" s="11" t="s">
        <v>30</v>
      </c>
      <c r="D221" s="11" t="s">
        <v>1046</v>
      </c>
      <c r="E221" s="11">
        <v>14.0</v>
      </c>
      <c r="F221" s="11" t="s">
        <v>947</v>
      </c>
      <c r="G221" s="11" t="s">
        <v>1047</v>
      </c>
      <c r="H221" s="14" t="s">
        <v>40</v>
      </c>
      <c r="I221" s="11" t="s">
        <v>762</v>
      </c>
      <c r="J221" s="11" t="s">
        <v>961</v>
      </c>
      <c r="K221" s="11" t="s">
        <v>749</v>
      </c>
      <c r="L221" s="11" t="s">
        <v>749</v>
      </c>
      <c r="M221" s="11" t="s">
        <v>763</v>
      </c>
      <c r="N221" s="11" t="s">
        <v>769</v>
      </c>
      <c r="O221" s="11" t="s">
        <v>76</v>
      </c>
      <c r="P221" s="13">
        <v>8.0</v>
      </c>
      <c r="Q221" s="11" t="s">
        <v>1048</v>
      </c>
      <c r="R221" s="11"/>
      <c r="S221" s="11"/>
      <c r="T221" s="11"/>
      <c r="U221" s="11"/>
      <c r="V221" s="11"/>
      <c r="W221" s="11"/>
      <c r="X221" s="11"/>
      <c r="Y221" s="11"/>
      <c r="Z221" s="11"/>
      <c r="AA221" s="11"/>
      <c r="AB221" s="11"/>
    </row>
    <row r="222" ht="15.75" customHeight="1">
      <c r="A222" s="11" t="s">
        <v>1049</v>
      </c>
      <c r="B222" s="12">
        <v>5.0</v>
      </c>
      <c r="C222" s="11" t="s">
        <v>30</v>
      </c>
      <c r="D222" s="11" t="s">
        <v>1050</v>
      </c>
      <c r="E222" s="11">
        <v>12.0</v>
      </c>
      <c r="F222" s="11" t="s">
        <v>1051</v>
      </c>
      <c r="G222" s="11" t="s">
        <v>1052</v>
      </c>
      <c r="H222" s="14" t="s">
        <v>40</v>
      </c>
      <c r="I222" s="11" t="s">
        <v>763</v>
      </c>
      <c r="J222" s="11" t="s">
        <v>749</v>
      </c>
      <c r="K222" s="11" t="s">
        <v>749</v>
      </c>
      <c r="L222" s="11" t="s">
        <v>961</v>
      </c>
      <c r="M222" s="11" t="s">
        <v>938</v>
      </c>
      <c r="N222" s="11" t="s">
        <v>961</v>
      </c>
      <c r="O222" s="11" t="s">
        <v>13</v>
      </c>
      <c r="P222" s="13">
        <v>5.0</v>
      </c>
      <c r="Q222" s="11" t="s">
        <v>1053</v>
      </c>
      <c r="R222" s="11"/>
      <c r="S222" s="11"/>
      <c r="T222" s="11"/>
      <c r="U222" s="11"/>
      <c r="V222" s="11"/>
      <c r="W222" s="11"/>
      <c r="X222" s="11"/>
      <c r="Y222" s="11"/>
      <c r="Z222" s="11"/>
      <c r="AA222" s="11"/>
      <c r="AB222" s="11"/>
    </row>
    <row r="223" ht="15.75" customHeight="1">
      <c r="A223" s="11" t="s">
        <v>1054</v>
      </c>
      <c r="B223" s="12" t="s">
        <v>44</v>
      </c>
      <c r="C223" s="11" t="s">
        <v>30</v>
      </c>
      <c r="D223" s="11" t="s">
        <v>1055</v>
      </c>
      <c r="E223" s="11">
        <v>13.0</v>
      </c>
      <c r="F223" s="11">
        <v>34.0</v>
      </c>
      <c r="G223" s="11" t="s">
        <v>1056</v>
      </c>
      <c r="H223" s="11" t="s">
        <v>40</v>
      </c>
      <c r="I223" s="11">
        <f t="shared" ref="I223:I224" si="198">+3</f>
        <v>3</v>
      </c>
      <c r="J223" s="11">
        <f t="shared" ref="J223:J224" si="199">+2</f>
        <v>2</v>
      </c>
      <c r="K223" s="11">
        <f>+3</f>
        <v>3</v>
      </c>
      <c r="L223" s="11">
        <v>-1.0</v>
      </c>
      <c r="M223" s="11">
        <f>+0</f>
        <v>0</v>
      </c>
      <c r="N223" s="11">
        <v>-1.0</v>
      </c>
      <c r="O223" s="11" t="s">
        <v>13</v>
      </c>
      <c r="P223" s="13">
        <v>7.0</v>
      </c>
      <c r="Q223" s="11" t="s">
        <v>1057</v>
      </c>
      <c r="R223" s="11" t="s">
        <v>1058</v>
      </c>
      <c r="S223" s="11"/>
      <c r="T223" s="11"/>
      <c r="U223" s="11"/>
      <c r="V223" s="11"/>
      <c r="W223" s="11"/>
      <c r="X223" s="11"/>
      <c r="Y223" s="11"/>
      <c r="Z223" s="11"/>
      <c r="AA223" s="11"/>
      <c r="AB223" s="11"/>
    </row>
    <row r="224" ht="15.75" customHeight="1">
      <c r="A224" s="11" t="s">
        <v>1059</v>
      </c>
      <c r="B224" s="12">
        <v>5.0</v>
      </c>
      <c r="C224" s="11" t="s">
        <v>30</v>
      </c>
      <c r="D224" s="11" t="s">
        <v>1060</v>
      </c>
      <c r="E224" s="11">
        <v>12.0</v>
      </c>
      <c r="F224" s="11">
        <v>20.0</v>
      </c>
      <c r="G224" s="11" t="s">
        <v>592</v>
      </c>
      <c r="H224" s="11" t="s">
        <v>167</v>
      </c>
      <c r="I224" s="11">
        <f t="shared" si="198"/>
        <v>3</v>
      </c>
      <c r="J224" s="11">
        <f t="shared" si="199"/>
        <v>2</v>
      </c>
      <c r="K224" s="11">
        <f>+2</f>
        <v>2</v>
      </c>
      <c r="L224" s="11">
        <f t="shared" ref="L224:L225" si="201">+1</f>
        <v>1</v>
      </c>
      <c r="M224" s="11">
        <f>+2</f>
        <v>2</v>
      </c>
      <c r="N224" s="11">
        <f>+3</f>
        <v>3</v>
      </c>
      <c r="O224" s="11" t="s">
        <v>41</v>
      </c>
      <c r="P224" s="13">
        <v>4.0</v>
      </c>
      <c r="Q224" s="11" t="s">
        <v>1061</v>
      </c>
      <c r="R224" s="11"/>
      <c r="S224" s="11"/>
      <c r="T224" s="11"/>
      <c r="U224" s="11"/>
      <c r="V224" s="11"/>
      <c r="W224" s="11"/>
      <c r="X224" s="11"/>
      <c r="Y224" s="11"/>
      <c r="Z224" s="11"/>
      <c r="AA224" s="11"/>
      <c r="AB224" s="11"/>
    </row>
    <row r="225" ht="15.75" customHeight="1">
      <c r="A225" s="11" t="s">
        <v>1062</v>
      </c>
      <c r="B225" s="15">
        <v>13.0</v>
      </c>
      <c r="C225" s="11" t="s">
        <v>30</v>
      </c>
      <c r="D225" s="11" t="s">
        <v>1063</v>
      </c>
      <c r="E225" s="11">
        <v>15.0</v>
      </c>
      <c r="F225" s="11">
        <v>52.0</v>
      </c>
      <c r="G225" s="11" t="s">
        <v>1064</v>
      </c>
      <c r="H225" s="11" t="s">
        <v>80</v>
      </c>
      <c r="I225" s="11">
        <f>+4</f>
        <v>4</v>
      </c>
      <c r="J225" s="11">
        <f t="shared" ref="J225:K225" si="200">+3</f>
        <v>3</v>
      </c>
      <c r="K225" s="11">
        <f t="shared" si="200"/>
        <v>3</v>
      </c>
      <c r="L225" s="11">
        <f t="shared" si="201"/>
        <v>1</v>
      </c>
      <c r="M225" s="11">
        <f>+3</f>
        <v>3</v>
      </c>
      <c r="N225" s="11">
        <f>+4</f>
        <v>4</v>
      </c>
      <c r="O225" s="11" t="s">
        <v>13</v>
      </c>
      <c r="P225" s="13">
        <v>11.0</v>
      </c>
      <c r="Q225" s="11" t="s">
        <v>643</v>
      </c>
      <c r="R225" s="11" t="s">
        <v>1065</v>
      </c>
      <c r="S225" s="11" t="s">
        <v>1066</v>
      </c>
      <c r="T225" s="11" t="s">
        <v>1067</v>
      </c>
      <c r="U225" s="11" t="s">
        <v>1068</v>
      </c>
      <c r="V225" s="11"/>
      <c r="W225" s="11"/>
      <c r="X225" s="11"/>
      <c r="Y225" s="11"/>
      <c r="Z225" s="11"/>
      <c r="AA225" s="11"/>
      <c r="AB225" s="11"/>
    </row>
    <row r="226" ht="15.75" customHeight="1">
      <c r="A226" s="11" t="s">
        <v>1069</v>
      </c>
      <c r="B226" s="12">
        <v>5.0</v>
      </c>
      <c r="C226" s="11" t="s">
        <v>30</v>
      </c>
      <c r="D226" s="11" t="s">
        <v>1070</v>
      </c>
      <c r="E226" s="11" t="s">
        <v>1036</v>
      </c>
      <c r="F226" s="11">
        <v>25.0</v>
      </c>
      <c r="G226" s="11" t="s">
        <v>1071</v>
      </c>
      <c r="H226" s="11" t="s">
        <v>80</v>
      </c>
      <c r="I226" s="11">
        <f>+3</f>
        <v>3</v>
      </c>
      <c r="J226" s="11">
        <f>+2</f>
        <v>2</v>
      </c>
      <c r="K226" s="11">
        <f>+3</f>
        <v>3</v>
      </c>
      <c r="L226" s="11">
        <v>-1.0</v>
      </c>
      <c r="M226" s="11">
        <f>+1</f>
        <v>1</v>
      </c>
      <c r="N226" s="11">
        <f>+2</f>
        <v>2</v>
      </c>
      <c r="O226" s="11" t="s">
        <v>13</v>
      </c>
      <c r="P226" s="13">
        <v>5.0</v>
      </c>
      <c r="Q226" s="11" t="s">
        <v>450</v>
      </c>
      <c r="R226" s="11" t="s">
        <v>1072</v>
      </c>
      <c r="S226" s="11" t="s">
        <v>1068</v>
      </c>
      <c r="T226" s="11"/>
      <c r="U226" s="11"/>
      <c r="V226" s="11"/>
      <c r="W226" s="11"/>
      <c r="X226" s="11"/>
      <c r="Y226" s="11"/>
      <c r="Z226" s="11"/>
      <c r="AA226" s="11"/>
      <c r="AB226" s="11"/>
    </row>
    <row r="227" ht="15.75" customHeight="1">
      <c r="A227" s="11" t="s">
        <v>1073</v>
      </c>
      <c r="B227" s="12">
        <v>0.25</v>
      </c>
      <c r="C227" s="11" t="s">
        <v>30</v>
      </c>
      <c r="D227" s="11" t="s">
        <v>1074</v>
      </c>
      <c r="E227" s="11">
        <v>7.0</v>
      </c>
      <c r="F227" s="11">
        <v>9.0</v>
      </c>
      <c r="G227" s="11" t="s">
        <v>1075</v>
      </c>
      <c r="H227" s="11" t="s">
        <v>1076</v>
      </c>
      <c r="I227" s="11">
        <v>-3.0</v>
      </c>
      <c r="J227" s="11">
        <v>-2.0</v>
      </c>
      <c r="K227" s="11">
        <f t="shared" ref="K227:K228" si="203">+0</f>
        <v>0</v>
      </c>
      <c r="L227" s="11">
        <v>-4.0</v>
      </c>
      <c r="M227" s="11">
        <v>-3.0</v>
      </c>
      <c r="N227" s="11">
        <v>-4.0</v>
      </c>
      <c r="O227" s="11" t="s">
        <v>76</v>
      </c>
      <c r="P227" s="13">
        <v>2.0</v>
      </c>
      <c r="Q227" s="11"/>
      <c r="R227" s="11"/>
      <c r="S227" s="11"/>
      <c r="T227" s="11"/>
      <c r="U227" s="11"/>
      <c r="V227" s="11"/>
      <c r="W227" s="11"/>
      <c r="X227" s="11"/>
      <c r="Y227" s="11"/>
      <c r="Z227" s="11"/>
      <c r="AA227" s="11"/>
      <c r="AB227" s="11"/>
    </row>
    <row r="228" ht="15.75" customHeight="1">
      <c r="A228" s="11" t="s">
        <v>1077</v>
      </c>
      <c r="B228" s="12" t="s">
        <v>44</v>
      </c>
      <c r="C228" s="11" t="s">
        <v>30</v>
      </c>
      <c r="D228" s="11" t="s">
        <v>1078</v>
      </c>
      <c r="E228" s="11">
        <v>13.0</v>
      </c>
      <c r="F228" s="11">
        <v>13.0</v>
      </c>
      <c r="G228" s="11" t="s">
        <v>1079</v>
      </c>
      <c r="H228" s="11" t="s">
        <v>40</v>
      </c>
      <c r="I228" s="11">
        <f t="shared" ref="I228:J228" si="202">+1</f>
        <v>1</v>
      </c>
      <c r="J228" s="11">
        <f t="shared" si="202"/>
        <v>1</v>
      </c>
      <c r="K228" s="11">
        <f t="shared" si="203"/>
        <v>0</v>
      </c>
      <c r="L228" s="11">
        <f>+0</f>
        <v>0</v>
      </c>
      <c r="M228" s="11">
        <f>+1</f>
        <v>1</v>
      </c>
      <c r="N228" s="11">
        <f>+0</f>
        <v>0</v>
      </c>
      <c r="O228" s="11" t="s">
        <v>13</v>
      </c>
      <c r="P228" s="13">
        <v>3.0</v>
      </c>
      <c r="Q228" s="11"/>
      <c r="R228" s="11"/>
      <c r="S228" s="11"/>
      <c r="T228" s="11"/>
      <c r="U228" s="11"/>
      <c r="V228" s="11"/>
      <c r="W228" s="11"/>
      <c r="X228" s="11"/>
      <c r="Y228" s="11"/>
      <c r="Z228" s="11"/>
      <c r="AA228" s="11"/>
      <c r="AB228" s="11"/>
    </row>
    <row r="229" ht="15.75" customHeight="1">
      <c r="A229" s="11" t="s">
        <v>1080</v>
      </c>
      <c r="B229" s="12" t="s">
        <v>44</v>
      </c>
      <c r="C229" s="11" t="s">
        <v>30</v>
      </c>
      <c r="D229" s="11" t="s">
        <v>1081</v>
      </c>
      <c r="E229" s="11">
        <v>14.0</v>
      </c>
      <c r="F229" s="11">
        <v>28.0</v>
      </c>
      <c r="G229" s="11" t="s">
        <v>1082</v>
      </c>
      <c r="H229" s="11" t="s">
        <v>80</v>
      </c>
      <c r="I229" s="11">
        <f>+4</f>
        <v>4</v>
      </c>
      <c r="J229" s="11">
        <f>+2</f>
        <v>2</v>
      </c>
      <c r="K229" s="11">
        <f t="shared" ref="K229:N229" si="204">+1</f>
        <v>1</v>
      </c>
      <c r="L229" s="11">
        <f t="shared" si="204"/>
        <v>1</v>
      </c>
      <c r="M229" s="11">
        <f t="shared" si="204"/>
        <v>1</v>
      </c>
      <c r="N229" s="11">
        <f t="shared" si="204"/>
        <v>1</v>
      </c>
      <c r="O229" s="11" t="s">
        <v>13</v>
      </c>
      <c r="P229" s="13">
        <v>6.0</v>
      </c>
      <c r="Q229" s="11" t="s">
        <v>1083</v>
      </c>
      <c r="R229" s="11"/>
      <c r="S229" s="11"/>
      <c r="T229" s="11"/>
      <c r="U229" s="11"/>
      <c r="V229" s="11"/>
      <c r="W229" s="11"/>
      <c r="X229" s="11"/>
      <c r="Y229" s="11"/>
      <c r="Z229" s="11"/>
      <c r="AA229" s="11"/>
      <c r="AB229" s="11"/>
    </row>
    <row r="230" ht="15.75" customHeight="1">
      <c r="A230" s="11" t="s">
        <v>1084</v>
      </c>
      <c r="B230" s="12" t="s">
        <v>44</v>
      </c>
      <c r="C230" s="11" t="s">
        <v>30</v>
      </c>
      <c r="D230" s="11" t="s">
        <v>1085</v>
      </c>
      <c r="E230" s="11">
        <v>13.0</v>
      </c>
      <c r="F230" s="11">
        <v>37.0</v>
      </c>
      <c r="G230" s="11" t="s">
        <v>1086</v>
      </c>
      <c r="H230" s="11" t="s">
        <v>40</v>
      </c>
      <c r="I230" s="11">
        <f>+0</f>
        <v>0</v>
      </c>
      <c r="J230" s="11">
        <f>+1</f>
        <v>1</v>
      </c>
      <c r="K230" s="11">
        <f>+0</f>
        <v>0</v>
      </c>
      <c r="L230" s="11">
        <f>+3</f>
        <v>3</v>
      </c>
      <c r="M230" s="11">
        <f t="shared" ref="M230:N230" si="205">+1</f>
        <v>1</v>
      </c>
      <c r="N230" s="11">
        <f t="shared" si="205"/>
        <v>1</v>
      </c>
      <c r="O230" s="11" t="s">
        <v>13</v>
      </c>
      <c r="P230" s="13">
        <v>8.0</v>
      </c>
      <c r="Q230" s="11" t="s">
        <v>1087</v>
      </c>
      <c r="R230" s="11" t="s">
        <v>1088</v>
      </c>
      <c r="S230" s="11" t="s">
        <v>1089</v>
      </c>
      <c r="T230" s="11" t="s">
        <v>1090</v>
      </c>
      <c r="U230" s="11"/>
      <c r="V230" s="11"/>
      <c r="W230" s="11"/>
      <c r="X230" s="11"/>
      <c r="Y230" s="11"/>
      <c r="Z230" s="11"/>
      <c r="AA230" s="11"/>
      <c r="AB230" s="11"/>
    </row>
    <row r="231" ht="15.75" customHeight="1">
      <c r="A231" s="11" t="s">
        <v>1091</v>
      </c>
      <c r="B231" s="12">
        <v>0.0</v>
      </c>
      <c r="C231" s="11" t="s">
        <v>30</v>
      </c>
      <c r="D231" s="11" t="s">
        <v>1092</v>
      </c>
      <c r="E231" s="11">
        <v>10.0</v>
      </c>
      <c r="F231" s="11">
        <v>5.0</v>
      </c>
      <c r="G231" s="11" t="s">
        <v>1093</v>
      </c>
      <c r="H231" s="11" t="s">
        <v>55</v>
      </c>
      <c r="I231" s="11">
        <f t="shared" ref="I231:I233" si="206">+1</f>
        <v>1</v>
      </c>
      <c r="J231" s="11">
        <f>+0</f>
        <v>0</v>
      </c>
      <c r="K231" s="11">
        <f>+1</f>
        <v>1</v>
      </c>
      <c r="L231" s="11">
        <v>-3.0</v>
      </c>
      <c r="M231" s="11">
        <f>+1</f>
        <v>1</v>
      </c>
      <c r="N231" s="11">
        <v>-3.0</v>
      </c>
      <c r="O231" s="11" t="s">
        <v>76</v>
      </c>
      <c r="P231" s="13">
        <v>1.0</v>
      </c>
      <c r="Q231" s="11" t="s">
        <v>1094</v>
      </c>
      <c r="R231" s="11"/>
      <c r="S231" s="11"/>
      <c r="T231" s="11"/>
      <c r="U231" s="11"/>
      <c r="V231" s="11"/>
      <c r="W231" s="11"/>
      <c r="X231" s="11"/>
      <c r="Y231" s="11"/>
      <c r="Z231" s="11"/>
      <c r="AA231" s="11"/>
      <c r="AB231" s="11"/>
    </row>
    <row r="232" ht="15.75" customHeight="1">
      <c r="A232" s="11" t="s">
        <v>1095</v>
      </c>
      <c r="B232" s="12" t="s">
        <v>44</v>
      </c>
      <c r="C232" s="11" t="s">
        <v>30</v>
      </c>
      <c r="D232" s="11" t="s">
        <v>1096</v>
      </c>
      <c r="E232" s="11">
        <v>13.0</v>
      </c>
      <c r="F232" s="11">
        <v>9.0</v>
      </c>
      <c r="G232" s="11" t="s">
        <v>1097</v>
      </c>
      <c r="H232" s="11" t="s">
        <v>55</v>
      </c>
      <c r="I232" s="11">
        <f t="shared" si="206"/>
        <v>1</v>
      </c>
      <c r="J232" s="11">
        <f>+3</f>
        <v>3</v>
      </c>
      <c r="K232" s="11">
        <f>+0</f>
        <v>0</v>
      </c>
      <c r="L232" s="11">
        <v>-3.0</v>
      </c>
      <c r="M232" s="11">
        <f>+0</f>
        <v>0</v>
      </c>
      <c r="N232" s="11">
        <v>-3.0</v>
      </c>
      <c r="O232" s="11" t="s">
        <v>76</v>
      </c>
      <c r="P232" s="13">
        <v>2.0</v>
      </c>
      <c r="Q232" s="11" t="s">
        <v>1098</v>
      </c>
      <c r="R232" s="11"/>
      <c r="S232" s="11"/>
      <c r="T232" s="11"/>
      <c r="U232" s="11"/>
      <c r="V232" s="11"/>
      <c r="W232" s="11"/>
      <c r="X232" s="11"/>
      <c r="Y232" s="11"/>
      <c r="Z232" s="11"/>
      <c r="AA232" s="11"/>
      <c r="AB232" s="11"/>
    </row>
    <row r="233" ht="15.75" customHeight="1">
      <c r="A233" s="11" t="s">
        <v>1099</v>
      </c>
      <c r="B233" s="12">
        <v>2.0</v>
      </c>
      <c r="C233" s="11" t="s">
        <v>30</v>
      </c>
      <c r="D233" s="11" t="s">
        <v>1100</v>
      </c>
      <c r="E233" s="11" t="s">
        <v>1036</v>
      </c>
      <c r="F233" s="11">
        <v>14.0</v>
      </c>
      <c r="G233" s="11" t="s">
        <v>827</v>
      </c>
      <c r="H233" s="11" t="s">
        <v>80</v>
      </c>
      <c r="I233" s="11">
        <f t="shared" si="206"/>
        <v>1</v>
      </c>
      <c r="J233" s="11">
        <f t="shared" ref="J233:J234" si="207">+2</f>
        <v>2</v>
      </c>
      <c r="K233" s="11">
        <f>+1</f>
        <v>1</v>
      </c>
      <c r="L233" s="11">
        <v>-1.0</v>
      </c>
      <c r="M233" s="11">
        <f t="shared" ref="M233:M234" si="208">+1</f>
        <v>1</v>
      </c>
      <c r="N233" s="11">
        <v>-1.0</v>
      </c>
      <c r="O233" s="11" t="s">
        <v>13</v>
      </c>
      <c r="P233" s="13">
        <v>3.0</v>
      </c>
      <c r="Q233" s="11" t="s">
        <v>1101</v>
      </c>
      <c r="R233" s="11" t="s">
        <v>1102</v>
      </c>
      <c r="S233" s="11"/>
      <c r="T233" s="11"/>
      <c r="U233" s="11"/>
      <c r="V233" s="11"/>
      <c r="W233" s="11"/>
      <c r="X233" s="11"/>
      <c r="Y233" s="11"/>
      <c r="Z233" s="11"/>
      <c r="AA233" s="11"/>
      <c r="AB233" s="11"/>
    </row>
    <row r="234" ht="15.75" customHeight="1">
      <c r="A234" s="11" t="s">
        <v>1103</v>
      </c>
      <c r="B234" s="12">
        <v>3.0</v>
      </c>
      <c r="C234" s="11" t="s">
        <v>30</v>
      </c>
      <c r="D234" s="11" t="s">
        <v>1104</v>
      </c>
      <c r="E234" s="11">
        <v>12.0</v>
      </c>
      <c r="F234" s="11">
        <v>20.0</v>
      </c>
      <c r="G234" s="11" t="s">
        <v>809</v>
      </c>
      <c r="H234" s="11" t="s">
        <v>167</v>
      </c>
      <c r="I234" s="11">
        <f t="shared" ref="I234:I235" si="209">+3</f>
        <v>3</v>
      </c>
      <c r="J234" s="11">
        <f t="shared" si="207"/>
        <v>2</v>
      </c>
      <c r="K234" s="11">
        <f t="shared" ref="K234:K235" si="210">+2</f>
        <v>2</v>
      </c>
      <c r="L234" s="11">
        <f>+0</f>
        <v>0</v>
      </c>
      <c r="M234" s="11">
        <f t="shared" si="208"/>
        <v>1</v>
      </c>
      <c r="N234" s="11">
        <f>+0</f>
        <v>0</v>
      </c>
      <c r="O234" s="11" t="s">
        <v>13</v>
      </c>
      <c r="P234" s="13">
        <v>4.0</v>
      </c>
      <c r="Q234" s="11" t="s">
        <v>1101</v>
      </c>
      <c r="R234" s="11" t="s">
        <v>1105</v>
      </c>
      <c r="S234" s="11"/>
      <c r="T234" s="11"/>
      <c r="U234" s="11"/>
      <c r="V234" s="11"/>
      <c r="W234" s="11"/>
      <c r="X234" s="11"/>
      <c r="Y234" s="11"/>
      <c r="Z234" s="11"/>
      <c r="AA234" s="11"/>
      <c r="AB234" s="11"/>
    </row>
    <row r="235" ht="15.75" customHeight="1">
      <c r="A235" s="11" t="s">
        <v>1106</v>
      </c>
      <c r="B235" s="12">
        <v>3.0</v>
      </c>
      <c r="C235" s="11" t="s">
        <v>30</v>
      </c>
      <c r="D235" s="11" t="s">
        <v>1107</v>
      </c>
      <c r="E235" s="11" t="s">
        <v>65</v>
      </c>
      <c r="F235" s="11">
        <v>15.0</v>
      </c>
      <c r="G235" s="11" t="s">
        <v>1108</v>
      </c>
      <c r="H235" s="11" t="s">
        <v>40</v>
      </c>
      <c r="I235" s="11">
        <f t="shared" si="209"/>
        <v>3</v>
      </c>
      <c r="J235" s="11">
        <f>+1</f>
        <v>1</v>
      </c>
      <c r="K235" s="11">
        <f t="shared" si="210"/>
        <v>2</v>
      </c>
      <c r="L235" s="11">
        <f>+1</f>
        <v>1</v>
      </c>
      <c r="M235" s="11">
        <f>+0</f>
        <v>0</v>
      </c>
      <c r="N235" s="11">
        <f>+3</f>
        <v>3</v>
      </c>
      <c r="O235" s="11" t="s">
        <v>13</v>
      </c>
      <c r="P235" s="13">
        <v>3.0</v>
      </c>
      <c r="Q235" s="11" t="s">
        <v>450</v>
      </c>
      <c r="R235" s="11" t="s">
        <v>451</v>
      </c>
      <c r="S235" s="11"/>
      <c r="T235" s="11"/>
      <c r="U235" s="11"/>
      <c r="V235" s="11"/>
      <c r="W235" s="11"/>
      <c r="X235" s="11"/>
      <c r="Y235" s="11"/>
      <c r="Z235" s="11"/>
      <c r="AA235" s="11"/>
      <c r="AB235" s="11"/>
    </row>
    <row r="236" ht="15.75" customHeight="1">
      <c r="A236" s="11" t="s">
        <v>1109</v>
      </c>
      <c r="B236" s="12">
        <v>2.0</v>
      </c>
      <c r="C236" s="11" t="s">
        <v>30</v>
      </c>
      <c r="D236" s="11" t="s">
        <v>1110</v>
      </c>
      <c r="E236" s="11">
        <v>13.0</v>
      </c>
      <c r="F236" s="11">
        <v>10.0</v>
      </c>
      <c r="G236" s="11" t="s">
        <v>1111</v>
      </c>
      <c r="H236" s="11" t="s">
        <v>55</v>
      </c>
      <c r="I236" s="11">
        <v>-3.0</v>
      </c>
      <c r="J236" s="11">
        <f>+3</f>
        <v>3</v>
      </c>
      <c r="K236" s="11">
        <f t="shared" ref="K236:K239" si="212">+1</f>
        <v>1</v>
      </c>
      <c r="L236" s="11">
        <v>-1.0</v>
      </c>
      <c r="M236" s="11">
        <v>-1.0</v>
      </c>
      <c r="N236" s="11">
        <v>-2.0</v>
      </c>
      <c r="O236" s="11" t="s">
        <v>13</v>
      </c>
      <c r="P236" s="13">
        <v>2.0</v>
      </c>
      <c r="Q236" s="11" t="s">
        <v>451</v>
      </c>
      <c r="R236" s="11"/>
      <c r="S236" s="11"/>
      <c r="T236" s="11"/>
      <c r="U236" s="11"/>
      <c r="V236" s="11"/>
      <c r="W236" s="11"/>
      <c r="X236" s="11"/>
      <c r="Y236" s="11"/>
      <c r="Z236" s="11"/>
      <c r="AA236" s="11"/>
      <c r="AB236" s="11"/>
    </row>
    <row r="237" ht="15.75" customHeight="1">
      <c r="A237" s="11" t="s">
        <v>1112</v>
      </c>
      <c r="B237" s="12">
        <v>0.25</v>
      </c>
      <c r="C237" s="11" t="s">
        <v>30</v>
      </c>
      <c r="D237" s="11" t="s">
        <v>1113</v>
      </c>
      <c r="E237" s="11">
        <v>12.0</v>
      </c>
      <c r="F237" s="11">
        <v>10.0</v>
      </c>
      <c r="G237" s="11" t="s">
        <v>121</v>
      </c>
      <c r="H237" s="11" t="s">
        <v>167</v>
      </c>
      <c r="I237" s="11">
        <f t="shared" ref="I237:J237" si="211">+2</f>
        <v>2</v>
      </c>
      <c r="J237" s="11">
        <f t="shared" si="211"/>
        <v>2</v>
      </c>
      <c r="K237" s="11">
        <f t="shared" si="212"/>
        <v>1</v>
      </c>
      <c r="L237" s="11">
        <v>-2.0</v>
      </c>
      <c r="M237" s="11">
        <f t="shared" ref="M237:M240" si="213">+1</f>
        <v>1</v>
      </c>
      <c r="N237" s="11">
        <f t="shared" ref="N237:N239" si="214">+0</f>
        <v>0</v>
      </c>
      <c r="O237" s="11" t="s">
        <v>76</v>
      </c>
      <c r="P237" s="13">
        <v>2.0</v>
      </c>
      <c r="Q237" s="11" t="s">
        <v>1114</v>
      </c>
      <c r="R237" s="11"/>
      <c r="S237" s="11"/>
      <c r="T237" s="11"/>
      <c r="U237" s="11"/>
      <c r="V237" s="11"/>
      <c r="W237" s="11"/>
      <c r="X237" s="11"/>
      <c r="Y237" s="11"/>
      <c r="Z237" s="11"/>
      <c r="AA237" s="11"/>
      <c r="AB237" s="11"/>
    </row>
    <row r="238" ht="15.75" customHeight="1">
      <c r="A238" s="11" t="s">
        <v>1115</v>
      </c>
      <c r="B238" s="12">
        <v>1.0</v>
      </c>
      <c r="C238" s="11" t="s">
        <v>30</v>
      </c>
      <c r="D238" s="11" t="s">
        <v>1116</v>
      </c>
      <c r="E238" s="11">
        <v>12.0</v>
      </c>
      <c r="F238" s="11">
        <v>19.0</v>
      </c>
      <c r="G238" s="11" t="s">
        <v>1117</v>
      </c>
      <c r="H238" s="11" t="s">
        <v>167</v>
      </c>
      <c r="I238" s="11">
        <f t="shared" ref="I238:I239" si="215">+3</f>
        <v>3</v>
      </c>
      <c r="J238" s="11">
        <f t="shared" ref="J238:J239" si="216">+2</f>
        <v>2</v>
      </c>
      <c r="K238" s="11">
        <f t="shared" si="212"/>
        <v>1</v>
      </c>
      <c r="L238" s="11">
        <v>-1.0</v>
      </c>
      <c r="M238" s="11">
        <f t="shared" si="213"/>
        <v>1</v>
      </c>
      <c r="N238" s="11">
        <f t="shared" si="214"/>
        <v>0</v>
      </c>
      <c r="O238" s="11" t="s">
        <v>76</v>
      </c>
      <c r="P238" s="13">
        <v>4.0</v>
      </c>
      <c r="Q238" s="11" t="s">
        <v>1118</v>
      </c>
      <c r="R238" s="11"/>
      <c r="S238" s="11"/>
      <c r="T238" s="11"/>
      <c r="U238" s="11"/>
      <c r="V238" s="11"/>
      <c r="W238" s="11"/>
      <c r="X238" s="11"/>
      <c r="Y238" s="11"/>
      <c r="Z238" s="11"/>
      <c r="AA238" s="11"/>
      <c r="AB238" s="11"/>
    </row>
    <row r="239" ht="15.75" customHeight="1">
      <c r="A239" s="11" t="s">
        <v>1119</v>
      </c>
      <c r="B239" s="12">
        <v>3.0</v>
      </c>
      <c r="C239" s="11" t="s">
        <v>30</v>
      </c>
      <c r="D239" s="11" t="s">
        <v>1120</v>
      </c>
      <c r="E239" s="11">
        <v>12.0</v>
      </c>
      <c r="F239" s="11">
        <v>23.0</v>
      </c>
      <c r="G239" s="11" t="s">
        <v>1121</v>
      </c>
      <c r="H239" s="11" t="s">
        <v>167</v>
      </c>
      <c r="I239" s="11">
        <f t="shared" si="215"/>
        <v>3</v>
      </c>
      <c r="J239" s="11">
        <f t="shared" si="216"/>
        <v>2</v>
      </c>
      <c r="K239" s="11">
        <f t="shared" si="212"/>
        <v>1</v>
      </c>
      <c r="L239" s="11">
        <f>+0</f>
        <v>0</v>
      </c>
      <c r="M239" s="11">
        <f t="shared" si="213"/>
        <v>1</v>
      </c>
      <c r="N239" s="11">
        <f t="shared" si="214"/>
        <v>0</v>
      </c>
      <c r="O239" s="11" t="s">
        <v>13</v>
      </c>
      <c r="P239" s="13">
        <v>5.0</v>
      </c>
      <c r="Q239" s="11" t="s">
        <v>1122</v>
      </c>
      <c r="R239" s="11" t="s">
        <v>1123</v>
      </c>
      <c r="S239" s="11"/>
      <c r="T239" s="11"/>
      <c r="U239" s="11"/>
      <c r="V239" s="11"/>
      <c r="W239" s="11"/>
      <c r="X239" s="11"/>
      <c r="Y239" s="11"/>
      <c r="Z239" s="11"/>
      <c r="AA239" s="11"/>
      <c r="AB239" s="11"/>
    </row>
    <row r="240" ht="15.75" customHeight="1">
      <c r="A240" s="11" t="s">
        <v>1124</v>
      </c>
      <c r="B240" s="12">
        <v>0.5</v>
      </c>
      <c r="C240" s="11" t="s">
        <v>30</v>
      </c>
      <c r="D240" s="11" t="s">
        <v>1125</v>
      </c>
      <c r="E240" s="11">
        <v>11.0</v>
      </c>
      <c r="F240" s="11">
        <v>14.0</v>
      </c>
      <c r="G240" s="11" t="s">
        <v>1126</v>
      </c>
      <c r="H240" s="11" t="s">
        <v>167</v>
      </c>
      <c r="I240" s="11">
        <f>+2</f>
        <v>2</v>
      </c>
      <c r="J240" s="11">
        <f t="shared" ref="J240:K240" si="217">+1</f>
        <v>1</v>
      </c>
      <c r="K240" s="11">
        <f t="shared" si="217"/>
        <v>1</v>
      </c>
      <c r="L240" s="11">
        <v>-2.0</v>
      </c>
      <c r="M240" s="11">
        <f t="shared" si="213"/>
        <v>1</v>
      </c>
      <c r="N240" s="11">
        <v>-2.0</v>
      </c>
      <c r="O240" s="11" t="s">
        <v>13</v>
      </c>
      <c r="P240" s="13">
        <v>3.0</v>
      </c>
      <c r="Q240" s="11"/>
      <c r="R240" s="11"/>
      <c r="S240" s="11"/>
      <c r="T240" s="11"/>
      <c r="U240" s="11"/>
      <c r="V240" s="11"/>
      <c r="W240" s="11"/>
      <c r="X240" s="11"/>
      <c r="Y240" s="11"/>
      <c r="Z240" s="11"/>
      <c r="AA240" s="11"/>
      <c r="AB240" s="11"/>
    </row>
    <row r="241" ht="15.75" customHeight="1">
      <c r="A241" s="11" t="s">
        <v>1127</v>
      </c>
      <c r="B241" s="12">
        <v>5.0</v>
      </c>
      <c r="C241" s="11" t="s">
        <v>30</v>
      </c>
      <c r="D241" s="11" t="s">
        <v>1128</v>
      </c>
      <c r="E241" s="11">
        <v>14.0</v>
      </c>
      <c r="F241" s="11">
        <v>36.0</v>
      </c>
      <c r="G241" s="11" t="s">
        <v>1129</v>
      </c>
      <c r="H241" s="11" t="s">
        <v>55</v>
      </c>
      <c r="I241" s="11">
        <v>-4.0</v>
      </c>
      <c r="J241" s="11">
        <f>+4</f>
        <v>4</v>
      </c>
      <c r="K241" s="11">
        <f t="shared" ref="K241:M241" si="218">+0</f>
        <v>0</v>
      </c>
      <c r="L241" s="11">
        <f t="shared" si="218"/>
        <v>0</v>
      </c>
      <c r="M241" s="11">
        <f t="shared" si="218"/>
        <v>0</v>
      </c>
      <c r="N241" s="11">
        <f>+3</f>
        <v>3</v>
      </c>
      <c r="O241" s="11" t="s">
        <v>13</v>
      </c>
      <c r="P241" s="13">
        <v>8.0</v>
      </c>
      <c r="Q241" s="14" t="s">
        <v>450</v>
      </c>
      <c r="R241" s="14" t="s">
        <v>1130</v>
      </c>
      <c r="S241" s="11" t="s">
        <v>451</v>
      </c>
      <c r="T241" s="11"/>
      <c r="U241" s="11"/>
      <c r="V241" s="11"/>
      <c r="W241" s="11"/>
      <c r="X241" s="11"/>
      <c r="Y241" s="11"/>
      <c r="Z241" s="11"/>
      <c r="AA241" s="11"/>
      <c r="AB241" s="11"/>
    </row>
    <row r="242" ht="15.75" customHeight="1">
      <c r="A242" s="11" t="s">
        <v>1131</v>
      </c>
      <c r="B242" s="12">
        <v>6.0</v>
      </c>
      <c r="C242" s="11" t="s">
        <v>30</v>
      </c>
      <c r="D242" s="11" t="s">
        <v>1132</v>
      </c>
      <c r="E242" s="11">
        <v>15.0</v>
      </c>
      <c r="F242" s="11">
        <v>37.0</v>
      </c>
      <c r="G242" s="11" t="s">
        <v>1133</v>
      </c>
      <c r="H242" s="11" t="s">
        <v>48</v>
      </c>
      <c r="I242" s="11">
        <f>+4</f>
        <v>4</v>
      </c>
      <c r="J242" s="11">
        <f>+2</f>
        <v>2</v>
      </c>
      <c r="K242" s="11">
        <f>+1</f>
        <v>1</v>
      </c>
      <c r="L242" s="11">
        <v>-3.0</v>
      </c>
      <c r="M242" s="11">
        <f>+1</f>
        <v>1</v>
      </c>
      <c r="N242" s="11">
        <v>-3.0</v>
      </c>
      <c r="O242" s="11" t="s">
        <v>76</v>
      </c>
      <c r="P242" s="13">
        <v>8.0</v>
      </c>
      <c r="Q242" s="11" t="s">
        <v>1134</v>
      </c>
      <c r="R242" s="11"/>
      <c r="S242" s="11"/>
      <c r="T242" s="11"/>
      <c r="U242" s="11"/>
      <c r="V242" s="11"/>
      <c r="W242" s="11"/>
      <c r="X242" s="11"/>
      <c r="Y242" s="11"/>
      <c r="Z242" s="11"/>
      <c r="AA242" s="11"/>
      <c r="AB242" s="11"/>
    </row>
    <row r="243" ht="15.75" customHeight="1">
      <c r="A243" s="11" t="s">
        <v>1135</v>
      </c>
      <c r="B243" s="12">
        <v>0.25</v>
      </c>
      <c r="C243" s="11" t="s">
        <v>30</v>
      </c>
      <c r="D243" s="11" t="s">
        <v>1136</v>
      </c>
      <c r="E243" s="11">
        <v>8.0</v>
      </c>
      <c r="F243" s="11">
        <v>11.0</v>
      </c>
      <c r="G243" s="11" t="s">
        <v>1137</v>
      </c>
      <c r="H243" s="11" t="s">
        <v>40</v>
      </c>
      <c r="I243" s="11">
        <f>+2</f>
        <v>2</v>
      </c>
      <c r="J243" s="11">
        <v>-2.0</v>
      </c>
      <c r="K243" s="11">
        <f>+2</f>
        <v>2</v>
      </c>
      <c r="L243" s="11">
        <v>-2.0</v>
      </c>
      <c r="M243" s="11">
        <v>-2.0</v>
      </c>
      <c r="N243" s="11">
        <v>-3.0</v>
      </c>
      <c r="O243" s="11" t="s">
        <v>13</v>
      </c>
      <c r="P243" s="13">
        <v>2.0</v>
      </c>
      <c r="Q243" s="11" t="s">
        <v>444</v>
      </c>
      <c r="R243" s="11" t="s">
        <v>1138</v>
      </c>
      <c r="S243" s="11"/>
      <c r="T243" s="11"/>
      <c r="U243" s="11"/>
      <c r="V243" s="11"/>
      <c r="W243" s="11"/>
      <c r="X243" s="11"/>
      <c r="Y243" s="11"/>
      <c r="Z243" s="11"/>
      <c r="AA243" s="11"/>
      <c r="AB243" s="11"/>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sheetData>
  <customSheetViews>
    <customSheetView guid="{7904D927-A127-473C-8B57-4EE1C7E3FAE9}" filter="1" showAutoFilter="1">
      <autoFilter ref="$A$4:$AB$243">
        <filterColumn colId="2">
          <filters/>
        </filterColumn>
      </autoFilter>
    </customSheetView>
    <customSheetView guid="{51DCF084-7C01-403C-9896-1E7742DCA6B3}" filter="1" showAutoFilter="1">
      <autoFilter ref="$A$4:$AB$243"/>
    </customSheetView>
    <customSheetView guid="{7B4FF760-C879-4C05-8F10-45D59B7E7C3E}" filter="1" showAutoFilter="1">
      <autoFilter ref="$A$4:$AB$243">
        <filterColumn colId="2">
          <filters/>
        </filterColumn>
      </autoFilter>
    </customSheetView>
    <customSheetView guid="{6B2E9E35-D6A1-4749-95F2-2658A691119A}" filter="1" showAutoFilter="1">
      <autoFilter ref="$A$4:$AB$243">
        <filterColumn colId="2">
          <filters/>
        </filterColumn>
      </autoFilter>
    </customSheetView>
    <customSheetView guid="{4FEF9F0C-4236-4853-B093-88FE2289FD26}" filter="1" showAutoFilter="1">
      <autoFilter ref="$A$4:$AB$243">
        <filterColumn colId="2">
          <filters>
            <filter val="CR"/>
          </filters>
        </filterColumn>
      </autoFilter>
    </customSheetView>
    <customSheetView guid="{5CDEC3B1-201F-4BAD-941F-A80E62A04015}" filter="1" showAutoFilter="1">
      <autoFilter ref="$A$4:$AB$243">
        <filterColumn colId="2">
          <filters/>
        </filterColumn>
      </autoFilter>
    </customSheetView>
  </customSheetViews>
  <mergeCells count="4">
    <mergeCell ref="D1:D3"/>
    <mergeCell ref="E1:K1"/>
    <mergeCell ref="E2:K2"/>
    <mergeCell ref="E3:K3"/>
  </mergeCells>
  <hyperlinks>
    <hyperlink r:id="rId1" ref="E1"/>
    <hyperlink r:id="rId2" ref="E2"/>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9.75"/>
    <col customWidth="1" min="2" max="299" width="25.13"/>
  </cols>
  <sheetData>
    <row r="1">
      <c r="A1" s="23" t="str">
        <f t="array" ref="A1:IF27">TRANSPOSE(All!A4:AA243)</f>
        <v>Monster</v>
      </c>
      <c r="B1" s="24" t="s">
        <v>29</v>
      </c>
      <c r="C1" s="24" t="s">
        <v>37</v>
      </c>
      <c r="D1" s="24" t="s">
        <v>43</v>
      </c>
      <c r="E1" s="24" t="s">
        <v>51</v>
      </c>
      <c r="F1" s="24" t="s">
        <v>57</v>
      </c>
      <c r="G1" s="24" t="s">
        <v>63</v>
      </c>
      <c r="H1" s="24" t="s">
        <v>68</v>
      </c>
      <c r="I1" s="24" t="s">
        <v>72</v>
      </c>
      <c r="J1" s="24" t="s">
        <v>77</v>
      </c>
      <c r="K1" s="24" t="s">
        <v>81</v>
      </c>
      <c r="L1" s="24" t="s">
        <v>85</v>
      </c>
      <c r="M1" s="24" t="s">
        <v>90</v>
      </c>
      <c r="N1" s="24" t="s">
        <v>99</v>
      </c>
      <c r="O1" s="24" t="s">
        <v>103</v>
      </c>
      <c r="P1" s="24" t="s">
        <v>107</v>
      </c>
      <c r="Q1" s="24" t="s">
        <v>111</v>
      </c>
      <c r="R1" s="24" t="s">
        <v>115</v>
      </c>
      <c r="S1" s="24" t="s">
        <v>119</v>
      </c>
      <c r="T1" s="24" t="s">
        <v>122</v>
      </c>
      <c r="U1" s="24" t="s">
        <v>125</v>
      </c>
      <c r="V1" s="24" t="s">
        <v>129</v>
      </c>
      <c r="W1" s="24" t="s">
        <v>132</v>
      </c>
      <c r="X1" s="24" t="s">
        <v>137</v>
      </c>
      <c r="Y1" s="24" t="s">
        <v>140</v>
      </c>
      <c r="Z1" s="24" t="s">
        <v>145</v>
      </c>
      <c r="AA1" s="24" t="s">
        <v>149</v>
      </c>
      <c r="AB1" s="24" t="s">
        <v>156</v>
      </c>
      <c r="AC1" s="24" t="s">
        <v>160</v>
      </c>
      <c r="AD1" s="24" t="s">
        <v>164</v>
      </c>
      <c r="AE1" s="24" t="s">
        <v>168</v>
      </c>
      <c r="AF1" s="24" t="s">
        <v>172</v>
      </c>
      <c r="AG1" s="24" t="s">
        <v>176</v>
      </c>
      <c r="AH1" s="24" t="s">
        <v>179</v>
      </c>
      <c r="AI1" s="24" t="s">
        <v>183</v>
      </c>
      <c r="AJ1" s="24" t="s">
        <v>186</v>
      </c>
      <c r="AK1" s="24" t="s">
        <v>190</v>
      </c>
      <c r="AL1" s="24" t="s">
        <v>194</v>
      </c>
      <c r="AM1" s="24" t="s">
        <v>199</v>
      </c>
      <c r="AN1" s="24" t="s">
        <v>203</v>
      </c>
      <c r="AO1" s="24" t="s">
        <v>209</v>
      </c>
      <c r="AP1" s="24" t="s">
        <v>213</v>
      </c>
      <c r="AQ1" s="24" t="s">
        <v>216</v>
      </c>
      <c r="AR1" s="24" t="s">
        <v>222</v>
      </c>
      <c r="AS1" s="24" t="s">
        <v>226</v>
      </c>
      <c r="AT1" s="24" t="s">
        <v>230</v>
      </c>
      <c r="AU1" s="24" t="s">
        <v>234</v>
      </c>
      <c r="AV1" s="24" t="s">
        <v>240</v>
      </c>
      <c r="AW1" s="24" t="s">
        <v>244</v>
      </c>
      <c r="AX1" s="24" t="s">
        <v>248</v>
      </c>
      <c r="AY1" s="24" t="s">
        <v>252</v>
      </c>
      <c r="AZ1" s="24" t="s">
        <v>257</v>
      </c>
      <c r="BA1" s="24" t="s">
        <v>263</v>
      </c>
      <c r="BB1" s="24" t="s">
        <v>267</v>
      </c>
      <c r="BC1" s="24" t="s">
        <v>273</v>
      </c>
      <c r="BD1" s="24" t="s">
        <v>278</v>
      </c>
      <c r="BE1" s="24" t="s">
        <v>282</v>
      </c>
      <c r="BF1" s="24" t="s">
        <v>287</v>
      </c>
      <c r="BG1" s="24" t="s">
        <v>290</v>
      </c>
      <c r="BH1" s="24" t="s">
        <v>294</v>
      </c>
      <c r="BI1" s="24" t="s">
        <v>298</v>
      </c>
      <c r="BJ1" s="24" t="s">
        <v>302</v>
      </c>
      <c r="BK1" s="24" t="s">
        <v>305</v>
      </c>
      <c r="BL1" s="24" t="s">
        <v>309</v>
      </c>
      <c r="BM1" s="24" t="s">
        <v>315</v>
      </c>
      <c r="BN1" s="24" t="s">
        <v>319</v>
      </c>
      <c r="BO1" s="24" t="s">
        <v>325</v>
      </c>
      <c r="BP1" s="24" t="s">
        <v>330</v>
      </c>
      <c r="BQ1" s="24" t="s">
        <v>335</v>
      </c>
      <c r="BR1" s="24" t="s">
        <v>340</v>
      </c>
      <c r="BS1" s="24" t="s">
        <v>346</v>
      </c>
      <c r="BT1" s="24" t="s">
        <v>351</v>
      </c>
      <c r="BU1" s="24" t="s">
        <v>355</v>
      </c>
      <c r="BV1" s="24" t="s">
        <v>359</v>
      </c>
      <c r="BW1" s="24" t="s">
        <v>365</v>
      </c>
      <c r="BX1" s="24" t="s">
        <v>373</v>
      </c>
      <c r="BY1" s="24" t="s">
        <v>378</v>
      </c>
      <c r="BZ1" s="24" t="s">
        <v>384</v>
      </c>
      <c r="CA1" s="24" t="s">
        <v>388</v>
      </c>
      <c r="CB1" s="24" t="s">
        <v>394</v>
      </c>
      <c r="CC1" s="24" t="s">
        <v>399</v>
      </c>
      <c r="CD1" s="24" t="s">
        <v>403</v>
      </c>
      <c r="CE1" s="24" t="s">
        <v>407</v>
      </c>
      <c r="CF1" s="24" t="s">
        <v>411</v>
      </c>
      <c r="CG1" s="24" t="s">
        <v>415</v>
      </c>
      <c r="CH1" s="24" t="s">
        <v>419</v>
      </c>
      <c r="CI1" s="24" t="s">
        <v>423</v>
      </c>
      <c r="CJ1" s="24" t="s">
        <v>427</v>
      </c>
      <c r="CK1" s="24" t="s">
        <v>431</v>
      </c>
      <c r="CL1" s="24" t="s">
        <v>434</v>
      </c>
      <c r="CM1" s="24" t="s">
        <v>441</v>
      </c>
      <c r="CN1" s="24" t="s">
        <v>447</v>
      </c>
      <c r="CO1" s="24" t="s">
        <v>453</v>
      </c>
      <c r="CP1" s="24" t="s">
        <v>456</v>
      </c>
      <c r="CQ1" s="24" t="s">
        <v>460</v>
      </c>
      <c r="CR1" s="24" t="s">
        <v>463</v>
      </c>
      <c r="CS1" s="24" t="s">
        <v>466</v>
      </c>
      <c r="CT1" s="24" t="s">
        <v>470</v>
      </c>
      <c r="CU1" s="24" t="s">
        <v>473</v>
      </c>
      <c r="CV1" s="24" t="s">
        <v>476</v>
      </c>
      <c r="CW1" s="24" t="s">
        <v>480</v>
      </c>
      <c r="CX1" s="24" t="s">
        <v>486</v>
      </c>
      <c r="CY1" s="24" t="s">
        <v>490</v>
      </c>
      <c r="CZ1" s="24" t="s">
        <v>493</v>
      </c>
      <c r="DA1" s="24" t="s">
        <v>498</v>
      </c>
      <c r="DB1" s="24" t="s">
        <v>502</v>
      </c>
      <c r="DC1" s="24" t="s">
        <v>505</v>
      </c>
      <c r="DD1" s="24" t="s">
        <v>511</v>
      </c>
      <c r="DE1" s="24" t="s">
        <v>516</v>
      </c>
      <c r="DF1" s="24" t="s">
        <v>520</v>
      </c>
      <c r="DG1" s="24" t="s">
        <v>525</v>
      </c>
      <c r="DH1" s="24" t="s">
        <v>530</v>
      </c>
      <c r="DI1" s="24" t="s">
        <v>535</v>
      </c>
      <c r="DJ1" s="24" t="s">
        <v>538</v>
      </c>
      <c r="DK1" s="24" t="s">
        <v>543</v>
      </c>
      <c r="DL1" s="24" t="s">
        <v>548</v>
      </c>
      <c r="DM1" s="24" t="s">
        <v>551</v>
      </c>
      <c r="DN1" s="24" t="s">
        <v>555</v>
      </c>
      <c r="DO1" s="24" t="s">
        <v>558</v>
      </c>
      <c r="DP1" s="24" t="s">
        <v>563</v>
      </c>
      <c r="DQ1" s="24" t="s">
        <v>566</v>
      </c>
      <c r="DR1" s="24" t="s">
        <v>570</v>
      </c>
      <c r="DS1" s="24" t="s">
        <v>574</v>
      </c>
      <c r="DT1" s="24" t="s">
        <v>579</v>
      </c>
      <c r="DU1" s="24" t="s">
        <v>582</v>
      </c>
      <c r="DV1" s="24" t="s">
        <v>586</v>
      </c>
      <c r="DW1" s="24" t="s">
        <v>590</v>
      </c>
      <c r="DX1" s="24" t="s">
        <v>593</v>
      </c>
      <c r="DY1" s="24" t="s">
        <v>597</v>
      </c>
      <c r="DZ1" s="24" t="s">
        <v>603</v>
      </c>
      <c r="EA1" s="24" t="s">
        <v>608</v>
      </c>
      <c r="EB1" s="24" t="s">
        <v>612</v>
      </c>
      <c r="EC1" s="24" t="s">
        <v>616</v>
      </c>
      <c r="ED1" s="24" t="s">
        <v>621</v>
      </c>
      <c r="EE1" s="24" t="s">
        <v>628</v>
      </c>
      <c r="EF1" s="24" t="s">
        <v>632</v>
      </c>
      <c r="EG1" s="24" t="s">
        <v>640</v>
      </c>
      <c r="EH1" s="24" t="s">
        <v>651</v>
      </c>
      <c r="EI1" s="24" t="s">
        <v>654</v>
      </c>
      <c r="EJ1" s="24" t="s">
        <v>657</v>
      </c>
      <c r="EK1" s="24" t="s">
        <v>665</v>
      </c>
      <c r="EL1" s="24" t="s">
        <v>668</v>
      </c>
      <c r="EM1" s="24" t="s">
        <v>672</v>
      </c>
      <c r="EN1" s="24" t="s">
        <v>676</v>
      </c>
      <c r="EO1" s="24" t="s">
        <v>679</v>
      </c>
      <c r="EP1" s="24" t="s">
        <v>685</v>
      </c>
      <c r="EQ1" s="24" t="s">
        <v>688</v>
      </c>
      <c r="ER1" s="24" t="s">
        <v>692</v>
      </c>
      <c r="ES1" s="24" t="s">
        <v>696</v>
      </c>
      <c r="ET1" s="24" t="s">
        <v>699</v>
      </c>
      <c r="EU1" s="24" t="s">
        <v>712</v>
      </c>
      <c r="EV1" s="24" t="s">
        <v>717</v>
      </c>
      <c r="EW1" s="24" t="s">
        <v>721</v>
      </c>
      <c r="EX1" s="24" t="s">
        <v>727</v>
      </c>
      <c r="EY1" s="24" t="s">
        <v>731</v>
      </c>
      <c r="EZ1" s="24" t="s">
        <v>735</v>
      </c>
      <c r="FA1" s="24" t="s">
        <v>745</v>
      </c>
      <c r="FB1" s="24" t="s">
        <v>751</v>
      </c>
      <c r="FC1" s="24" t="s">
        <v>758</v>
      </c>
      <c r="FD1" s="24" t="s">
        <v>764</v>
      </c>
      <c r="FE1" s="24" t="s">
        <v>774</v>
      </c>
      <c r="FF1" s="24" t="s">
        <v>777</v>
      </c>
      <c r="FG1" s="24" t="s">
        <v>780</v>
      </c>
      <c r="FH1" s="24" t="s">
        <v>784</v>
      </c>
      <c r="FI1" s="24" t="s">
        <v>789</v>
      </c>
      <c r="FJ1" s="24" t="s">
        <v>794</v>
      </c>
      <c r="FK1" s="24" t="s">
        <v>798</v>
      </c>
      <c r="FL1" s="24" t="s">
        <v>803</v>
      </c>
      <c r="FM1" s="24" t="s">
        <v>807</v>
      </c>
      <c r="FN1" s="24" t="s">
        <v>811</v>
      </c>
      <c r="FO1" s="24" t="s">
        <v>814</v>
      </c>
      <c r="FP1" s="24" t="s">
        <v>818</v>
      </c>
      <c r="FQ1" s="24" t="s">
        <v>825</v>
      </c>
      <c r="FR1" s="24" t="s">
        <v>829</v>
      </c>
      <c r="FS1" s="24" t="s">
        <v>832</v>
      </c>
      <c r="FT1" s="24" t="s">
        <v>839</v>
      </c>
      <c r="FU1" s="24" t="s">
        <v>844</v>
      </c>
      <c r="FV1" s="24" t="s">
        <v>850</v>
      </c>
      <c r="FW1" s="24" t="s">
        <v>854</v>
      </c>
      <c r="FX1" s="24" t="s">
        <v>858</v>
      </c>
      <c r="FY1" s="24" t="s">
        <v>861</v>
      </c>
      <c r="FZ1" s="24" t="s">
        <v>864</v>
      </c>
      <c r="GA1" s="24" t="s">
        <v>875</v>
      </c>
      <c r="GB1" s="24" t="s">
        <v>879</v>
      </c>
      <c r="GC1" s="24" t="s">
        <v>885</v>
      </c>
      <c r="GD1" s="24" t="s">
        <v>888</v>
      </c>
      <c r="GE1" s="24" t="s">
        <v>892</v>
      </c>
      <c r="GF1" s="24" t="s">
        <v>900</v>
      </c>
      <c r="GG1" s="24" t="s">
        <v>905</v>
      </c>
      <c r="GH1" s="24" t="s">
        <v>908</v>
      </c>
      <c r="GI1" s="24" t="s">
        <v>912</v>
      </c>
      <c r="GJ1" s="24" t="s">
        <v>916</v>
      </c>
      <c r="GK1" s="24" t="s">
        <v>919</v>
      </c>
      <c r="GL1" s="24" t="s">
        <v>923</v>
      </c>
      <c r="GM1" s="24" t="s">
        <v>927</v>
      </c>
      <c r="GN1" s="24" t="s">
        <v>931</v>
      </c>
      <c r="GO1" s="24" t="s">
        <v>935</v>
      </c>
      <c r="GP1" s="24" t="s">
        <v>941</v>
      </c>
      <c r="GQ1" s="24" t="s">
        <v>945</v>
      </c>
      <c r="GR1" s="24" t="s">
        <v>950</v>
      </c>
      <c r="GS1" s="24" t="s">
        <v>956</v>
      </c>
      <c r="GT1" s="24" t="s">
        <v>962</v>
      </c>
      <c r="GU1" s="24" t="s">
        <v>964</v>
      </c>
      <c r="GV1" s="24" t="s">
        <v>968</v>
      </c>
      <c r="GW1" s="24" t="s">
        <v>972</v>
      </c>
      <c r="GX1" s="24" t="s">
        <v>976</v>
      </c>
      <c r="GY1" s="24" t="s">
        <v>979</v>
      </c>
      <c r="GZ1" s="24" t="s">
        <v>987</v>
      </c>
      <c r="HA1" s="24" t="s">
        <v>991</v>
      </c>
      <c r="HB1" s="24" t="s">
        <v>995</v>
      </c>
      <c r="HC1" s="24" t="s">
        <v>997</v>
      </c>
      <c r="HD1" s="24" t="s">
        <v>1001</v>
      </c>
      <c r="HE1" s="24" t="s">
        <v>1006</v>
      </c>
      <c r="HF1" s="24" t="s">
        <v>1018</v>
      </c>
      <c r="HG1" s="24" t="s">
        <v>1023</v>
      </c>
      <c r="HH1" s="24" t="s">
        <v>1034</v>
      </c>
      <c r="HI1" s="24" t="s">
        <v>1041</v>
      </c>
      <c r="HJ1" s="24" t="s">
        <v>1045</v>
      </c>
      <c r="HK1" s="24" t="s">
        <v>1049</v>
      </c>
      <c r="HL1" s="24" t="s">
        <v>1054</v>
      </c>
      <c r="HM1" s="24" t="s">
        <v>1059</v>
      </c>
      <c r="HN1" s="24" t="s">
        <v>1062</v>
      </c>
      <c r="HO1" s="24" t="s">
        <v>1069</v>
      </c>
      <c r="HP1" s="24" t="s">
        <v>1073</v>
      </c>
      <c r="HQ1" s="24" t="s">
        <v>1077</v>
      </c>
      <c r="HR1" s="24" t="s">
        <v>1080</v>
      </c>
      <c r="HS1" s="24" t="s">
        <v>1084</v>
      </c>
      <c r="HT1" s="24" t="s">
        <v>1091</v>
      </c>
      <c r="HU1" s="24" t="s">
        <v>1095</v>
      </c>
      <c r="HV1" s="24" t="s">
        <v>1099</v>
      </c>
      <c r="HW1" s="24" t="s">
        <v>1103</v>
      </c>
      <c r="HX1" s="24" t="s">
        <v>1106</v>
      </c>
      <c r="HY1" s="24" t="s">
        <v>1109</v>
      </c>
      <c r="HZ1" s="24" t="s">
        <v>1112</v>
      </c>
      <c r="IA1" s="24" t="s">
        <v>1115</v>
      </c>
      <c r="IB1" s="24" t="s">
        <v>1119</v>
      </c>
      <c r="IC1" s="24" t="s">
        <v>1124</v>
      </c>
      <c r="ID1" s="24" t="s">
        <v>1127</v>
      </c>
      <c r="IE1" s="24" t="s">
        <v>1131</v>
      </c>
      <c r="IF1" s="24" t="s">
        <v>1135</v>
      </c>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5"/>
    </row>
    <row r="2">
      <c r="A2" s="26" t="s">
        <v>4</v>
      </c>
      <c r="B2" s="27">
        <v>10.0</v>
      </c>
      <c r="C2" s="27">
        <v>0.25</v>
      </c>
      <c r="D2" s="27" t="s">
        <v>44</v>
      </c>
      <c r="E2" s="27">
        <v>16.0</v>
      </c>
      <c r="F2" s="27">
        <v>21.0</v>
      </c>
      <c r="G2" s="27">
        <v>10.0</v>
      </c>
      <c r="H2" s="27">
        <v>1.0</v>
      </c>
      <c r="I2" s="27">
        <v>2.0</v>
      </c>
      <c r="J2" s="27">
        <v>0.5</v>
      </c>
      <c r="K2" s="27" t="s">
        <v>44</v>
      </c>
      <c r="L2" s="27" t="s">
        <v>44</v>
      </c>
      <c r="M2" s="27">
        <v>12.0</v>
      </c>
      <c r="N2" s="27">
        <v>8.0</v>
      </c>
      <c r="O2" s="27">
        <v>2.0</v>
      </c>
      <c r="P2" s="27">
        <v>0.0</v>
      </c>
      <c r="Q2" s="27">
        <v>0.125</v>
      </c>
      <c r="R2" s="27">
        <v>3.0</v>
      </c>
      <c r="S2" s="27">
        <v>0.25</v>
      </c>
      <c r="T2" s="27" t="s">
        <v>44</v>
      </c>
      <c r="U2" s="27">
        <v>1.0</v>
      </c>
      <c r="V2" s="27">
        <v>2.0</v>
      </c>
      <c r="W2" s="27" t="s">
        <v>44</v>
      </c>
      <c r="X2" s="27">
        <v>2.0</v>
      </c>
      <c r="Y2" s="27">
        <v>4.0</v>
      </c>
      <c r="Z2" s="27">
        <v>0.25</v>
      </c>
      <c r="AA2" s="27">
        <v>7.0</v>
      </c>
      <c r="AB2" s="27">
        <v>1.0</v>
      </c>
      <c r="AC2" s="27">
        <v>5.0</v>
      </c>
      <c r="AD2" s="27">
        <v>0.125</v>
      </c>
      <c r="AE2" s="27" t="s">
        <v>44</v>
      </c>
      <c r="AF2" s="27" t="s">
        <v>44</v>
      </c>
      <c r="AG2" s="27">
        <v>2.0</v>
      </c>
      <c r="AH2" s="27">
        <v>0.25</v>
      </c>
      <c r="AI2" s="27" t="s">
        <v>44</v>
      </c>
      <c r="AJ2" s="27">
        <v>6.0</v>
      </c>
      <c r="AK2" s="27">
        <v>4.0</v>
      </c>
      <c r="AL2" s="27">
        <v>8.0</v>
      </c>
      <c r="AM2" s="27">
        <v>0.5</v>
      </c>
      <c r="AN2" s="27">
        <v>4.0</v>
      </c>
      <c r="AO2" s="27" t="s">
        <v>44</v>
      </c>
      <c r="AP2" s="27">
        <v>0.5</v>
      </c>
      <c r="AQ2" s="27">
        <v>0.125</v>
      </c>
      <c r="AR2" s="27">
        <v>6.0</v>
      </c>
      <c r="AS2" s="27">
        <v>0.5</v>
      </c>
      <c r="AT2" s="27" t="s">
        <v>44</v>
      </c>
      <c r="AU2" s="27">
        <v>19.0</v>
      </c>
      <c r="AV2" s="27">
        <v>0.25</v>
      </c>
      <c r="AW2" s="27">
        <v>9.0</v>
      </c>
      <c r="AX2" s="27">
        <v>16.0</v>
      </c>
      <c r="AY2" s="27">
        <v>6.0</v>
      </c>
      <c r="AZ2" s="27">
        <v>25.0</v>
      </c>
      <c r="BA2" s="27">
        <v>5.0</v>
      </c>
      <c r="BB2" s="27" t="s">
        <v>44</v>
      </c>
      <c r="BC2" s="27">
        <v>12.0</v>
      </c>
      <c r="BD2" s="27">
        <v>11.0</v>
      </c>
      <c r="BE2" s="27">
        <v>1.0</v>
      </c>
      <c r="BF2" s="27">
        <v>5.0</v>
      </c>
      <c r="BG2" s="27">
        <v>2.0</v>
      </c>
      <c r="BH2" s="27" t="s">
        <v>44</v>
      </c>
      <c r="BI2" s="27">
        <v>5.0</v>
      </c>
      <c r="BJ2" s="27">
        <v>8.0</v>
      </c>
      <c r="BK2" s="27">
        <v>0.25</v>
      </c>
      <c r="BL2" s="27">
        <v>11.0</v>
      </c>
      <c r="BM2" s="27">
        <v>3.0</v>
      </c>
      <c r="BN2" s="27">
        <v>16.0</v>
      </c>
      <c r="BO2" s="27">
        <v>17.0</v>
      </c>
      <c r="BP2" s="27" t="s">
        <v>44</v>
      </c>
      <c r="BQ2" s="27" t="s">
        <v>44</v>
      </c>
      <c r="BR2" s="27">
        <v>16.0</v>
      </c>
      <c r="BS2" s="27" t="s">
        <v>44</v>
      </c>
      <c r="BT2" s="27">
        <v>0.25</v>
      </c>
      <c r="BU2" s="27">
        <v>6.0</v>
      </c>
      <c r="BV2" s="27">
        <v>8.0</v>
      </c>
      <c r="BW2" s="27">
        <v>2.0</v>
      </c>
      <c r="BX2" s="27">
        <v>1.0</v>
      </c>
      <c r="BY2" s="27">
        <v>1.0</v>
      </c>
      <c r="BZ2" s="27" t="s">
        <v>44</v>
      </c>
      <c r="CA2" s="27">
        <v>17.0</v>
      </c>
      <c r="CB2" s="27">
        <v>5.0</v>
      </c>
      <c r="CC2" s="27">
        <v>5.0</v>
      </c>
      <c r="CD2" s="27">
        <v>5.0</v>
      </c>
      <c r="CE2" s="27">
        <v>5.0</v>
      </c>
      <c r="CF2" s="27">
        <v>4.0</v>
      </c>
      <c r="CG2" s="27" t="s">
        <v>44</v>
      </c>
      <c r="CH2" s="27">
        <v>2.0</v>
      </c>
      <c r="CI2" s="27" t="s">
        <v>44</v>
      </c>
      <c r="CJ2" s="27">
        <v>0.25</v>
      </c>
      <c r="CK2" s="27">
        <v>2.0</v>
      </c>
      <c r="CL2" s="27">
        <v>2.0</v>
      </c>
      <c r="CM2" s="27">
        <v>2.0</v>
      </c>
      <c r="CN2" s="27">
        <v>4.0</v>
      </c>
      <c r="CO2" s="27">
        <v>1.0</v>
      </c>
      <c r="CP2" s="27">
        <v>9.0</v>
      </c>
      <c r="CQ2" s="27">
        <v>9.0</v>
      </c>
      <c r="CR2" s="27">
        <v>8.0</v>
      </c>
      <c r="CS2" s="27"/>
      <c r="CT2" s="27">
        <v>5.0</v>
      </c>
      <c r="CU2" s="27">
        <v>7.0</v>
      </c>
      <c r="CV2" s="27" t="s">
        <v>44</v>
      </c>
      <c r="CW2" s="27">
        <v>2.0</v>
      </c>
      <c r="CX2" s="27">
        <v>5.0</v>
      </c>
      <c r="CY2" s="27">
        <v>0.5</v>
      </c>
      <c r="CZ2" s="27">
        <v>0.5</v>
      </c>
      <c r="DA2" s="27">
        <v>0.25</v>
      </c>
      <c r="DB2" s="27">
        <v>1.0</v>
      </c>
      <c r="DC2" s="27">
        <v>2.0</v>
      </c>
      <c r="DD2" s="27">
        <v>9.0</v>
      </c>
      <c r="DE2" s="27">
        <v>5.0</v>
      </c>
      <c r="DF2" s="27">
        <v>16.0</v>
      </c>
      <c r="DG2" s="27">
        <v>10.0</v>
      </c>
      <c r="DH2" s="27">
        <v>5.0</v>
      </c>
      <c r="DI2" s="27" t="s">
        <v>44</v>
      </c>
      <c r="DJ2" s="27">
        <v>0.5</v>
      </c>
      <c r="DK2" s="27">
        <v>2.0</v>
      </c>
      <c r="DL2" s="27">
        <v>2.0</v>
      </c>
      <c r="DM2" s="27" t="s">
        <v>44</v>
      </c>
      <c r="DN2" s="27">
        <v>0.125</v>
      </c>
      <c r="DO2" s="27">
        <v>5.0</v>
      </c>
      <c r="DP2" s="27">
        <v>2.0</v>
      </c>
      <c r="DQ2" s="27">
        <v>3.0</v>
      </c>
      <c r="DR2" s="27">
        <v>1.0</v>
      </c>
      <c r="DS2" s="27">
        <v>3.0</v>
      </c>
      <c r="DT2" s="27">
        <v>1.0</v>
      </c>
      <c r="DU2" s="27" t="s">
        <v>44</v>
      </c>
      <c r="DV2" s="27">
        <v>0.5</v>
      </c>
      <c r="DW2" s="27">
        <v>0.25</v>
      </c>
      <c r="DX2" s="27">
        <v>8.0</v>
      </c>
      <c r="DY2" s="27">
        <v>6.0</v>
      </c>
      <c r="DZ2" s="27" t="s">
        <v>44</v>
      </c>
      <c r="EA2" s="27">
        <v>3.0</v>
      </c>
      <c r="EB2" s="27">
        <v>0.125</v>
      </c>
      <c r="EC2" s="27">
        <v>2.0</v>
      </c>
      <c r="ED2" s="27">
        <v>23.0</v>
      </c>
      <c r="EE2" s="27" t="s">
        <v>44</v>
      </c>
      <c r="EF2" s="27">
        <v>4.0</v>
      </c>
      <c r="EG2" s="27">
        <v>21.0</v>
      </c>
      <c r="EH2" s="27">
        <v>1.0</v>
      </c>
      <c r="EI2" s="27">
        <v>0.5</v>
      </c>
      <c r="EJ2" s="27">
        <v>6.0</v>
      </c>
      <c r="EK2" s="27">
        <v>6.0</v>
      </c>
      <c r="EL2" s="27" t="s">
        <v>44</v>
      </c>
      <c r="EM2" s="27">
        <v>3.0</v>
      </c>
      <c r="EN2" s="27">
        <v>0.125</v>
      </c>
      <c r="EO2" s="27">
        <v>6.0</v>
      </c>
      <c r="EP2" s="27">
        <v>0.125</v>
      </c>
      <c r="EQ2" s="27">
        <v>2.0</v>
      </c>
      <c r="ER2" s="27">
        <v>3.0</v>
      </c>
      <c r="ES2" s="27" t="s">
        <v>44</v>
      </c>
      <c r="ET2" s="27" t="s">
        <v>44</v>
      </c>
      <c r="EU2" s="27">
        <v>3.0</v>
      </c>
      <c r="EV2" s="27" t="s">
        <v>44</v>
      </c>
      <c r="EW2" s="27">
        <v>8.0</v>
      </c>
      <c r="EX2" s="27" t="s">
        <v>44</v>
      </c>
      <c r="EY2" s="27">
        <v>3.0</v>
      </c>
      <c r="EZ2" s="27" t="s">
        <v>44</v>
      </c>
      <c r="FA2" s="27">
        <v>2.0</v>
      </c>
      <c r="FB2" s="27">
        <v>1.0</v>
      </c>
      <c r="FC2" s="27">
        <v>2.0</v>
      </c>
      <c r="FD2" s="27">
        <v>7.0</v>
      </c>
      <c r="FE2" s="27">
        <v>0.5</v>
      </c>
      <c r="FF2" s="27">
        <v>4.0</v>
      </c>
      <c r="FG2" s="27">
        <v>5.0</v>
      </c>
      <c r="FH2" s="27" t="s">
        <v>44</v>
      </c>
      <c r="FI2" s="27" t="s">
        <v>44</v>
      </c>
      <c r="FJ2" s="27" t="s">
        <v>44</v>
      </c>
      <c r="FK2" s="27" t="s">
        <v>44</v>
      </c>
      <c r="FL2" s="27">
        <v>3.0</v>
      </c>
      <c r="FM2" s="27">
        <v>0.25</v>
      </c>
      <c r="FN2" s="27" t="s">
        <v>44</v>
      </c>
      <c r="FO2" s="27">
        <v>2.0</v>
      </c>
      <c r="FP2" s="27" t="s">
        <v>44</v>
      </c>
      <c r="FQ2" s="27" t="s">
        <v>44</v>
      </c>
      <c r="FR2" s="27" t="s">
        <v>44</v>
      </c>
      <c r="FS2" s="27">
        <v>2.0</v>
      </c>
      <c r="FT2" s="27" t="s">
        <v>44</v>
      </c>
      <c r="FU2" s="27" t="s">
        <v>44</v>
      </c>
      <c r="FV2" s="27">
        <v>0.0</v>
      </c>
      <c r="FW2" s="27" t="s">
        <v>44</v>
      </c>
      <c r="FX2" s="27">
        <v>0.125</v>
      </c>
      <c r="FY2" s="27">
        <v>0.25</v>
      </c>
      <c r="FZ2" s="27" t="s">
        <v>44</v>
      </c>
      <c r="GA2" s="27" t="s">
        <v>44</v>
      </c>
      <c r="GB2" s="27">
        <v>11.0</v>
      </c>
      <c r="GC2" s="27">
        <v>2.0</v>
      </c>
      <c r="GD2" s="27">
        <v>11.0</v>
      </c>
      <c r="GE2" s="27">
        <v>5.0</v>
      </c>
      <c r="GF2" s="27" t="s">
        <v>44</v>
      </c>
      <c r="GG2" s="27">
        <v>0.5</v>
      </c>
      <c r="GH2" s="27">
        <v>0.5</v>
      </c>
      <c r="GI2" s="27">
        <v>5.0</v>
      </c>
      <c r="GJ2" s="27" t="s">
        <v>44</v>
      </c>
      <c r="GK2" s="27">
        <v>1.0</v>
      </c>
      <c r="GL2" s="27">
        <v>0.0</v>
      </c>
      <c r="GM2" s="27">
        <v>3.0</v>
      </c>
      <c r="GN2" s="27">
        <v>0.5</v>
      </c>
      <c r="GO2" s="27">
        <v>5.0</v>
      </c>
      <c r="GP2" s="27">
        <v>5.0</v>
      </c>
      <c r="GQ2" s="27">
        <v>5.0</v>
      </c>
      <c r="GR2" s="27" t="s">
        <v>44</v>
      </c>
      <c r="GS2" s="27">
        <v>0.25</v>
      </c>
      <c r="GT2" s="27" t="s">
        <v>44</v>
      </c>
      <c r="GU2" s="27">
        <v>1.0</v>
      </c>
      <c r="GV2" s="27">
        <v>2.0</v>
      </c>
      <c r="GW2" s="27">
        <v>2.0</v>
      </c>
      <c r="GX2" s="27">
        <v>0.5</v>
      </c>
      <c r="GY2" s="27">
        <v>11.0</v>
      </c>
      <c r="GZ2" s="27">
        <v>0.0</v>
      </c>
      <c r="HA2" s="27">
        <v>1.0</v>
      </c>
      <c r="HB2" s="27" t="s">
        <v>44</v>
      </c>
      <c r="HC2" s="27">
        <v>0.125</v>
      </c>
      <c r="HD2" s="27" t="s">
        <v>44</v>
      </c>
      <c r="HE2" s="27">
        <v>30.0</v>
      </c>
      <c r="HF2" s="27" t="s">
        <v>44</v>
      </c>
      <c r="HG2" s="27" t="s">
        <v>44</v>
      </c>
      <c r="HH2" s="27" t="s">
        <v>44</v>
      </c>
      <c r="HI2" s="27">
        <v>0.5</v>
      </c>
      <c r="HJ2" s="27">
        <v>9.0</v>
      </c>
      <c r="HK2" s="27">
        <v>5.0</v>
      </c>
      <c r="HL2" s="27" t="s">
        <v>44</v>
      </c>
      <c r="HM2" s="27">
        <v>5.0</v>
      </c>
      <c r="HN2" s="27">
        <v>13.0</v>
      </c>
      <c r="HO2" s="27">
        <v>5.0</v>
      </c>
      <c r="HP2" s="27">
        <v>0.25</v>
      </c>
      <c r="HQ2" s="27" t="s">
        <v>44</v>
      </c>
      <c r="HR2" s="27" t="s">
        <v>44</v>
      </c>
      <c r="HS2" s="27" t="s">
        <v>44</v>
      </c>
      <c r="HT2" s="27">
        <v>0.0</v>
      </c>
      <c r="HU2" s="27" t="s">
        <v>44</v>
      </c>
      <c r="HV2" s="27">
        <v>2.0</v>
      </c>
      <c r="HW2" s="27">
        <v>3.0</v>
      </c>
      <c r="HX2" s="27">
        <v>3.0</v>
      </c>
      <c r="HY2" s="27">
        <v>2.0</v>
      </c>
      <c r="HZ2" s="27">
        <v>0.25</v>
      </c>
      <c r="IA2" s="27">
        <v>1.0</v>
      </c>
      <c r="IB2" s="27">
        <v>3.0</v>
      </c>
      <c r="IC2" s="27">
        <v>0.5</v>
      </c>
      <c r="ID2" s="27">
        <v>5.0</v>
      </c>
      <c r="IE2" s="27">
        <v>6.0</v>
      </c>
      <c r="IF2" s="27">
        <v>0.25</v>
      </c>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c r="KL2" s="28"/>
      <c r="KM2" s="28"/>
      <c r="KN2" s="29"/>
    </row>
    <row r="3" ht="150.0" customHeight="1">
      <c r="A3" s="26" t="s">
        <v>5</v>
      </c>
      <c r="B3" s="30" t="s">
        <v>30</v>
      </c>
      <c r="C3" s="30" t="s">
        <v>30</v>
      </c>
      <c r="D3" s="30" t="s">
        <v>30</v>
      </c>
      <c r="E3" s="30" t="s">
        <v>30</v>
      </c>
      <c r="F3" s="30" t="s">
        <v>30</v>
      </c>
      <c r="G3" s="30" t="s">
        <v>30</v>
      </c>
      <c r="H3" s="30" t="s">
        <v>30</v>
      </c>
      <c r="I3" s="30" t="s">
        <v>30</v>
      </c>
      <c r="J3" s="30" t="s">
        <v>30</v>
      </c>
      <c r="K3" s="30" t="s">
        <v>30</v>
      </c>
      <c r="L3" s="30" t="s">
        <v>30</v>
      </c>
      <c r="M3" s="30" t="s">
        <v>30</v>
      </c>
      <c r="N3" s="30" t="s">
        <v>30</v>
      </c>
      <c r="O3" s="30" t="s">
        <v>30</v>
      </c>
      <c r="P3" s="30" t="s">
        <v>30</v>
      </c>
      <c r="Q3" s="30" t="s">
        <v>30</v>
      </c>
      <c r="R3" s="30" t="s">
        <v>30</v>
      </c>
      <c r="S3" s="30" t="s">
        <v>30</v>
      </c>
      <c r="T3" s="30" t="s">
        <v>30</v>
      </c>
      <c r="U3" s="30" t="s">
        <v>30</v>
      </c>
      <c r="V3" s="30" t="s">
        <v>30</v>
      </c>
      <c r="W3" s="30" t="s">
        <v>30</v>
      </c>
      <c r="X3" s="30" t="s">
        <v>30</v>
      </c>
      <c r="Y3" s="30" t="s">
        <v>30</v>
      </c>
      <c r="Z3" s="30" t="s">
        <v>30</v>
      </c>
      <c r="AA3" s="30" t="s">
        <v>30</v>
      </c>
      <c r="AB3" s="30" t="s">
        <v>30</v>
      </c>
      <c r="AC3" s="30" t="s">
        <v>30</v>
      </c>
      <c r="AD3" s="30" t="s">
        <v>30</v>
      </c>
      <c r="AE3" s="30" t="s">
        <v>30</v>
      </c>
      <c r="AF3" s="30" t="s">
        <v>30</v>
      </c>
      <c r="AG3" s="30" t="s">
        <v>30</v>
      </c>
      <c r="AH3" s="30" t="s">
        <v>30</v>
      </c>
      <c r="AI3" s="30" t="s">
        <v>30</v>
      </c>
      <c r="AJ3" s="30" t="s">
        <v>30</v>
      </c>
      <c r="AK3" s="30" t="s">
        <v>30</v>
      </c>
      <c r="AL3" s="30" t="s">
        <v>30</v>
      </c>
      <c r="AM3" s="30" t="s">
        <v>30</v>
      </c>
      <c r="AN3" s="30" t="s">
        <v>30</v>
      </c>
      <c r="AO3" s="30" t="s">
        <v>30</v>
      </c>
      <c r="AP3" s="30" t="s">
        <v>30</v>
      </c>
      <c r="AQ3" s="30" t="s">
        <v>30</v>
      </c>
      <c r="AR3" s="30" t="s">
        <v>30</v>
      </c>
      <c r="AS3" s="30" t="s">
        <v>30</v>
      </c>
      <c r="AT3" s="30" t="s">
        <v>30</v>
      </c>
      <c r="AU3" s="30" t="s">
        <v>30</v>
      </c>
      <c r="AV3" s="30" t="s">
        <v>30</v>
      </c>
      <c r="AW3" s="30" t="s">
        <v>30</v>
      </c>
      <c r="AX3" s="30" t="s">
        <v>30</v>
      </c>
      <c r="AY3" s="30" t="s">
        <v>30</v>
      </c>
      <c r="AZ3" s="30" t="s">
        <v>30</v>
      </c>
      <c r="BA3" s="30" t="s">
        <v>30</v>
      </c>
      <c r="BB3" s="30" t="s">
        <v>30</v>
      </c>
      <c r="BC3" s="30" t="s">
        <v>30</v>
      </c>
      <c r="BD3" s="30" t="s">
        <v>30</v>
      </c>
      <c r="BE3" s="30" t="s">
        <v>30</v>
      </c>
      <c r="BF3" s="30" t="s">
        <v>30</v>
      </c>
      <c r="BG3" s="30" t="s">
        <v>30</v>
      </c>
      <c r="BH3" s="30" t="s">
        <v>30</v>
      </c>
      <c r="BI3" s="30" t="s">
        <v>30</v>
      </c>
      <c r="BJ3" s="30" t="s">
        <v>30</v>
      </c>
      <c r="BK3" s="30" t="s">
        <v>30</v>
      </c>
      <c r="BL3" s="30" t="s">
        <v>30</v>
      </c>
      <c r="BM3" s="30" t="s">
        <v>30</v>
      </c>
      <c r="BN3" s="30" t="s">
        <v>30</v>
      </c>
      <c r="BO3" s="30" t="s">
        <v>30</v>
      </c>
      <c r="BP3" s="30" t="s">
        <v>30</v>
      </c>
      <c r="BQ3" s="30" t="s">
        <v>30</v>
      </c>
      <c r="BR3" s="30" t="s">
        <v>30</v>
      </c>
      <c r="BS3" s="30" t="s">
        <v>30</v>
      </c>
      <c r="BT3" s="30" t="s">
        <v>30</v>
      </c>
      <c r="BU3" s="30" t="s">
        <v>30</v>
      </c>
      <c r="BV3" s="30" t="s">
        <v>30</v>
      </c>
      <c r="BW3" s="30" t="s">
        <v>30</v>
      </c>
      <c r="BX3" s="30" t="s">
        <v>30</v>
      </c>
      <c r="BY3" s="30" t="s">
        <v>30</v>
      </c>
      <c r="BZ3" s="30" t="s">
        <v>30</v>
      </c>
      <c r="CA3" s="30" t="s">
        <v>30</v>
      </c>
      <c r="CB3" s="30" t="s">
        <v>30</v>
      </c>
      <c r="CC3" s="30" t="s">
        <v>30</v>
      </c>
      <c r="CD3" s="30" t="s">
        <v>30</v>
      </c>
      <c r="CE3" s="30" t="s">
        <v>30</v>
      </c>
      <c r="CF3" s="30" t="s">
        <v>30</v>
      </c>
      <c r="CG3" s="30" t="s">
        <v>30</v>
      </c>
      <c r="CH3" s="30" t="s">
        <v>30</v>
      </c>
      <c r="CI3" s="30" t="s">
        <v>30</v>
      </c>
      <c r="CJ3" s="30" t="s">
        <v>30</v>
      </c>
      <c r="CK3" s="30" t="s">
        <v>30</v>
      </c>
      <c r="CL3" s="30" t="s">
        <v>30</v>
      </c>
      <c r="CM3" s="30" t="s">
        <v>30</v>
      </c>
      <c r="CN3" s="30" t="s">
        <v>30</v>
      </c>
      <c r="CO3" s="30" t="s">
        <v>30</v>
      </c>
      <c r="CP3" s="30" t="s">
        <v>30</v>
      </c>
      <c r="CQ3" s="30" t="s">
        <v>30</v>
      </c>
      <c r="CR3" s="30" t="s">
        <v>30</v>
      </c>
      <c r="CS3" s="30" t="s">
        <v>30</v>
      </c>
      <c r="CT3" s="30" t="s">
        <v>30</v>
      </c>
      <c r="CU3" s="30" t="s">
        <v>30</v>
      </c>
      <c r="CV3" s="30" t="s">
        <v>30</v>
      </c>
      <c r="CW3" s="30" t="s">
        <v>30</v>
      </c>
      <c r="CX3" s="30" t="s">
        <v>30</v>
      </c>
      <c r="CY3" s="30" t="s">
        <v>30</v>
      </c>
      <c r="CZ3" s="30" t="s">
        <v>30</v>
      </c>
      <c r="DA3" s="30" t="s">
        <v>30</v>
      </c>
      <c r="DB3" s="30" t="s">
        <v>30</v>
      </c>
      <c r="DC3" s="30" t="s">
        <v>30</v>
      </c>
      <c r="DD3" s="30" t="s">
        <v>30</v>
      </c>
      <c r="DE3" s="30" t="s">
        <v>30</v>
      </c>
      <c r="DF3" s="30" t="s">
        <v>30</v>
      </c>
      <c r="DG3" s="30" t="s">
        <v>30</v>
      </c>
      <c r="DH3" s="30" t="s">
        <v>30</v>
      </c>
      <c r="DI3" s="30" t="s">
        <v>30</v>
      </c>
      <c r="DJ3" s="30" t="s">
        <v>30</v>
      </c>
      <c r="DK3" s="30" t="s">
        <v>30</v>
      </c>
      <c r="DL3" s="30" t="s">
        <v>30</v>
      </c>
      <c r="DM3" s="30" t="s">
        <v>30</v>
      </c>
      <c r="DN3" s="30" t="s">
        <v>30</v>
      </c>
      <c r="DO3" s="30" t="s">
        <v>30</v>
      </c>
      <c r="DP3" s="30" t="s">
        <v>30</v>
      </c>
      <c r="DQ3" s="30" t="s">
        <v>30</v>
      </c>
      <c r="DR3" s="30" t="s">
        <v>30</v>
      </c>
      <c r="DS3" s="30" t="s">
        <v>30</v>
      </c>
      <c r="DT3" s="30" t="s">
        <v>30</v>
      </c>
      <c r="DU3" s="30" t="s">
        <v>30</v>
      </c>
      <c r="DV3" s="30" t="s">
        <v>30</v>
      </c>
      <c r="DW3" s="30" t="s">
        <v>30</v>
      </c>
      <c r="DX3" s="30" t="s">
        <v>30</v>
      </c>
      <c r="DY3" s="30" t="s">
        <v>30</v>
      </c>
      <c r="DZ3" s="30" t="s">
        <v>30</v>
      </c>
      <c r="EA3" s="30" t="s">
        <v>30</v>
      </c>
      <c r="EB3" s="30" t="s">
        <v>30</v>
      </c>
      <c r="EC3" s="30" t="s">
        <v>30</v>
      </c>
      <c r="ED3" s="30" t="s">
        <v>30</v>
      </c>
      <c r="EE3" s="30" t="s">
        <v>30</v>
      </c>
      <c r="EF3" s="30" t="s">
        <v>30</v>
      </c>
      <c r="EG3" s="30" t="s">
        <v>30</v>
      </c>
      <c r="EH3" s="30" t="s">
        <v>30</v>
      </c>
      <c r="EI3" s="30" t="s">
        <v>30</v>
      </c>
      <c r="EJ3" s="30" t="s">
        <v>30</v>
      </c>
      <c r="EK3" s="30" t="s">
        <v>30</v>
      </c>
      <c r="EL3" s="30" t="s">
        <v>30</v>
      </c>
      <c r="EM3" s="30" t="s">
        <v>30</v>
      </c>
      <c r="EN3" s="30" t="s">
        <v>30</v>
      </c>
      <c r="EO3" s="30" t="s">
        <v>30</v>
      </c>
      <c r="EP3" s="30" t="s">
        <v>30</v>
      </c>
      <c r="EQ3" s="30" t="s">
        <v>30</v>
      </c>
      <c r="ER3" s="30" t="s">
        <v>30</v>
      </c>
      <c r="ES3" s="30" t="s">
        <v>30</v>
      </c>
      <c r="ET3" s="30" t="s">
        <v>30</v>
      </c>
      <c r="EU3" s="30" t="s">
        <v>30</v>
      </c>
      <c r="EV3" s="30" t="s">
        <v>30</v>
      </c>
      <c r="EW3" s="30" t="s">
        <v>30</v>
      </c>
      <c r="EX3" s="30" t="s">
        <v>30</v>
      </c>
      <c r="EY3" s="30" t="s">
        <v>30</v>
      </c>
      <c r="EZ3" s="30" t="s">
        <v>30</v>
      </c>
      <c r="FA3" s="30" t="s">
        <v>30</v>
      </c>
      <c r="FB3" s="30" t="s">
        <v>30</v>
      </c>
      <c r="FC3" s="30" t="s">
        <v>30</v>
      </c>
      <c r="FD3" s="30" t="s">
        <v>30</v>
      </c>
      <c r="FE3" s="30" t="s">
        <v>30</v>
      </c>
      <c r="FF3" s="30" t="s">
        <v>30</v>
      </c>
      <c r="FG3" s="30" t="s">
        <v>30</v>
      </c>
      <c r="FH3" s="30" t="s">
        <v>30</v>
      </c>
      <c r="FI3" s="30" t="s">
        <v>30</v>
      </c>
      <c r="FJ3" s="30" t="s">
        <v>30</v>
      </c>
      <c r="FK3" s="30" t="s">
        <v>30</v>
      </c>
      <c r="FL3" s="30" t="s">
        <v>30</v>
      </c>
      <c r="FM3" s="30" t="s">
        <v>30</v>
      </c>
      <c r="FN3" s="30" t="s">
        <v>30</v>
      </c>
      <c r="FO3" s="30" t="s">
        <v>30</v>
      </c>
      <c r="FP3" s="30" t="s">
        <v>30</v>
      </c>
      <c r="FQ3" s="30" t="s">
        <v>30</v>
      </c>
      <c r="FR3" s="30" t="s">
        <v>30</v>
      </c>
      <c r="FS3" s="30" t="s">
        <v>30</v>
      </c>
      <c r="FT3" s="30" t="s">
        <v>30</v>
      </c>
      <c r="FU3" s="30" t="s">
        <v>30</v>
      </c>
      <c r="FV3" s="30" t="s">
        <v>30</v>
      </c>
      <c r="FW3" s="30" t="s">
        <v>30</v>
      </c>
      <c r="FX3" s="30" t="s">
        <v>30</v>
      </c>
      <c r="FY3" s="30" t="s">
        <v>30</v>
      </c>
      <c r="FZ3" s="30" t="s">
        <v>30</v>
      </c>
      <c r="GA3" s="30" t="s">
        <v>30</v>
      </c>
      <c r="GB3" s="30" t="s">
        <v>30</v>
      </c>
      <c r="GC3" s="30" t="s">
        <v>30</v>
      </c>
      <c r="GD3" s="30" t="s">
        <v>30</v>
      </c>
      <c r="GE3" s="30" t="s">
        <v>30</v>
      </c>
      <c r="GF3" s="30" t="s">
        <v>30</v>
      </c>
      <c r="GG3" s="30" t="s">
        <v>30</v>
      </c>
      <c r="GH3" s="30" t="s">
        <v>30</v>
      </c>
      <c r="GI3" s="30" t="s">
        <v>30</v>
      </c>
      <c r="GJ3" s="30" t="s">
        <v>30</v>
      </c>
      <c r="GK3" s="30" t="s">
        <v>30</v>
      </c>
      <c r="GL3" s="30" t="s">
        <v>30</v>
      </c>
      <c r="GM3" s="30" t="s">
        <v>30</v>
      </c>
      <c r="GN3" s="30" t="s">
        <v>30</v>
      </c>
      <c r="GO3" s="30" t="s">
        <v>30</v>
      </c>
      <c r="GP3" s="30" t="s">
        <v>30</v>
      </c>
      <c r="GQ3" s="30" t="s">
        <v>30</v>
      </c>
      <c r="GR3" s="30" t="s">
        <v>30</v>
      </c>
      <c r="GS3" s="30" t="s">
        <v>30</v>
      </c>
      <c r="GT3" s="30" t="s">
        <v>30</v>
      </c>
      <c r="GU3" s="30" t="s">
        <v>30</v>
      </c>
      <c r="GV3" s="30" t="s">
        <v>30</v>
      </c>
      <c r="GW3" s="30" t="s">
        <v>30</v>
      </c>
      <c r="GX3" s="30" t="s">
        <v>30</v>
      </c>
      <c r="GY3" s="30" t="s">
        <v>30</v>
      </c>
      <c r="GZ3" s="30" t="s">
        <v>30</v>
      </c>
      <c r="HA3" s="30" t="s">
        <v>30</v>
      </c>
      <c r="HB3" s="30" t="s">
        <v>30</v>
      </c>
      <c r="HC3" s="30" t="s">
        <v>30</v>
      </c>
      <c r="HD3" s="30" t="s">
        <v>30</v>
      </c>
      <c r="HE3" s="30" t="s">
        <v>30</v>
      </c>
      <c r="HF3" s="30" t="s">
        <v>30</v>
      </c>
      <c r="HG3" s="30" t="s">
        <v>30</v>
      </c>
      <c r="HH3" s="30" t="s">
        <v>30</v>
      </c>
      <c r="HI3" s="30" t="s">
        <v>30</v>
      </c>
      <c r="HJ3" s="30" t="s">
        <v>30</v>
      </c>
      <c r="HK3" s="30" t="s">
        <v>30</v>
      </c>
      <c r="HL3" s="30" t="s">
        <v>30</v>
      </c>
      <c r="HM3" s="30" t="s">
        <v>30</v>
      </c>
      <c r="HN3" s="30" t="s">
        <v>30</v>
      </c>
      <c r="HO3" s="30" t="s">
        <v>30</v>
      </c>
      <c r="HP3" s="30" t="s">
        <v>30</v>
      </c>
      <c r="HQ3" s="30" t="s">
        <v>30</v>
      </c>
      <c r="HR3" s="30" t="s">
        <v>30</v>
      </c>
      <c r="HS3" s="30" t="s">
        <v>30</v>
      </c>
      <c r="HT3" s="30" t="s">
        <v>30</v>
      </c>
      <c r="HU3" s="30" t="s">
        <v>30</v>
      </c>
      <c r="HV3" s="30" t="s">
        <v>30</v>
      </c>
      <c r="HW3" s="30" t="s">
        <v>30</v>
      </c>
      <c r="HX3" s="30" t="s">
        <v>30</v>
      </c>
      <c r="HY3" s="30" t="s">
        <v>30</v>
      </c>
      <c r="HZ3" s="30" t="s">
        <v>30</v>
      </c>
      <c r="IA3" s="30" t="s">
        <v>30</v>
      </c>
      <c r="IB3" s="30" t="s">
        <v>30</v>
      </c>
      <c r="IC3" s="30" t="s">
        <v>30</v>
      </c>
      <c r="ID3" s="30" t="s">
        <v>30</v>
      </c>
      <c r="IE3" s="30" t="s">
        <v>30</v>
      </c>
      <c r="IF3" s="30" t="s">
        <v>30</v>
      </c>
      <c r="IG3" s="30"/>
      <c r="IH3" s="30"/>
      <c r="II3" s="30"/>
      <c r="IJ3" s="30"/>
      <c r="IK3" s="30"/>
      <c r="IL3" s="30"/>
      <c r="IM3" s="30"/>
      <c r="IN3" s="30"/>
      <c r="IO3" s="30"/>
      <c r="IP3" s="30"/>
      <c r="IQ3" s="30"/>
      <c r="IR3" s="30"/>
      <c r="IS3" s="30"/>
      <c r="IT3" s="30"/>
      <c r="IU3" s="30"/>
      <c r="IV3" s="30"/>
      <c r="IW3" s="30"/>
      <c r="IX3" s="30"/>
      <c r="IY3" s="30"/>
      <c r="IZ3" s="30"/>
      <c r="JA3" s="30"/>
      <c r="JB3" s="30"/>
      <c r="JC3" s="30"/>
      <c r="JD3" s="30"/>
      <c r="JE3" s="30"/>
      <c r="JF3" s="30"/>
      <c r="JG3" s="30"/>
      <c r="JH3" s="30"/>
      <c r="JI3" s="30"/>
      <c r="JJ3" s="30"/>
      <c r="JK3" s="30"/>
      <c r="JL3" s="30"/>
      <c r="JM3" s="30"/>
      <c r="JN3" s="30"/>
      <c r="JO3" s="30"/>
      <c r="JP3" s="30"/>
      <c r="JQ3" s="30"/>
      <c r="JR3" s="30"/>
      <c r="JS3" s="30"/>
      <c r="JT3" s="30"/>
      <c r="JU3" s="30"/>
      <c r="JV3" s="30"/>
      <c r="JW3" s="30"/>
      <c r="JX3" s="30"/>
      <c r="JY3" s="30"/>
      <c r="JZ3" s="30"/>
      <c r="KA3" s="30"/>
      <c r="KB3" s="30"/>
      <c r="KC3" s="30"/>
      <c r="KD3" s="30"/>
      <c r="KE3" s="30"/>
      <c r="KF3" s="30"/>
      <c r="KG3" s="30"/>
      <c r="KH3" s="30"/>
      <c r="KI3" s="30"/>
      <c r="KJ3" s="30"/>
      <c r="KK3" s="30"/>
      <c r="KL3" s="30"/>
      <c r="KM3" s="30"/>
      <c r="KN3" s="31"/>
    </row>
    <row r="4">
      <c r="A4" s="26" t="s">
        <v>6</v>
      </c>
      <c r="B4" s="28" t="s">
        <v>31</v>
      </c>
      <c r="C4" s="28" t="s">
        <v>38</v>
      </c>
      <c r="D4" s="28" t="s">
        <v>45</v>
      </c>
      <c r="E4" s="28" t="s">
        <v>52</v>
      </c>
      <c r="F4" s="28" t="s">
        <v>58</v>
      </c>
      <c r="G4" s="28" t="s">
        <v>64</v>
      </c>
      <c r="H4" s="28" t="s">
        <v>69</v>
      </c>
      <c r="I4" s="28" t="s">
        <v>73</v>
      </c>
      <c r="J4" s="28" t="s">
        <v>78</v>
      </c>
      <c r="K4" s="28" t="s">
        <v>82</v>
      </c>
      <c r="L4" s="28" t="s">
        <v>86</v>
      </c>
      <c r="M4" s="28" t="s">
        <v>91</v>
      </c>
      <c r="N4" s="28" t="s">
        <v>100</v>
      </c>
      <c r="O4" s="28" t="s">
        <v>104</v>
      </c>
      <c r="P4" s="28" t="s">
        <v>108</v>
      </c>
      <c r="Q4" s="28" t="s">
        <v>112</v>
      </c>
      <c r="R4" s="28" t="s">
        <v>116</v>
      </c>
      <c r="S4" s="28" t="s">
        <v>120</v>
      </c>
      <c r="T4" s="28" t="s">
        <v>123</v>
      </c>
      <c r="U4" s="28" t="s">
        <v>126</v>
      </c>
      <c r="V4" s="28" t="s">
        <v>130</v>
      </c>
      <c r="W4" s="28" t="s">
        <v>133</v>
      </c>
      <c r="X4" s="28" t="s">
        <v>138</v>
      </c>
      <c r="Y4" s="28" t="s">
        <v>141</v>
      </c>
      <c r="Z4" s="28" t="s">
        <v>146</v>
      </c>
      <c r="AA4" s="28" t="s">
        <v>150</v>
      </c>
      <c r="AB4" s="28" t="s">
        <v>157</v>
      </c>
      <c r="AC4" s="28" t="s">
        <v>161</v>
      </c>
      <c r="AD4" s="28" t="s">
        <v>165</v>
      </c>
      <c r="AE4" s="28" t="s">
        <v>169</v>
      </c>
      <c r="AF4" s="28" t="s">
        <v>173</v>
      </c>
      <c r="AG4" s="28" t="s">
        <v>177</v>
      </c>
      <c r="AH4" s="28" t="s">
        <v>180</v>
      </c>
      <c r="AI4" s="28" t="s">
        <v>184</v>
      </c>
      <c r="AJ4" s="28" t="s">
        <v>187</v>
      </c>
      <c r="AK4" s="28" t="s">
        <v>191</v>
      </c>
      <c r="AL4" s="28" t="s">
        <v>195</v>
      </c>
      <c r="AM4" s="28" t="s">
        <v>200</v>
      </c>
      <c r="AN4" s="28" t="s">
        <v>204</v>
      </c>
      <c r="AO4" s="28" t="s">
        <v>210</v>
      </c>
      <c r="AP4" s="28" t="s">
        <v>214</v>
      </c>
      <c r="AQ4" s="28" t="s">
        <v>217</v>
      </c>
      <c r="AR4" s="28" t="s">
        <v>223</v>
      </c>
      <c r="AS4" s="28" t="s">
        <v>227</v>
      </c>
      <c r="AT4" s="28" t="s">
        <v>231</v>
      </c>
      <c r="AU4" s="28" t="s">
        <v>235</v>
      </c>
      <c r="AV4" s="28" t="s">
        <v>241</v>
      </c>
      <c r="AW4" s="28" t="s">
        <v>245</v>
      </c>
      <c r="AX4" s="28" t="s">
        <v>249</v>
      </c>
      <c r="AY4" s="28" t="s">
        <v>253</v>
      </c>
      <c r="AZ4" s="28" t="s">
        <v>258</v>
      </c>
      <c r="BA4" s="28" t="s">
        <v>264</v>
      </c>
      <c r="BB4" s="28" t="s">
        <v>268</v>
      </c>
      <c r="BC4" s="28" t="s">
        <v>274</v>
      </c>
      <c r="BD4" s="28" t="s">
        <v>279</v>
      </c>
      <c r="BE4" s="28" t="s">
        <v>283</v>
      </c>
      <c r="BF4" s="28" t="s">
        <v>288</v>
      </c>
      <c r="BG4" s="28" t="s">
        <v>291</v>
      </c>
      <c r="BH4" s="28" t="s">
        <v>295</v>
      </c>
      <c r="BI4" s="28" t="s">
        <v>299</v>
      </c>
      <c r="BJ4" s="28" t="s">
        <v>303</v>
      </c>
      <c r="BK4" s="28" t="s">
        <v>306</v>
      </c>
      <c r="BL4" s="28" t="s">
        <v>310</v>
      </c>
      <c r="BM4" s="28" t="s">
        <v>316</v>
      </c>
      <c r="BN4" s="28" t="s">
        <v>320</v>
      </c>
      <c r="BO4" s="28" t="s">
        <v>326</v>
      </c>
      <c r="BP4" s="28" t="s">
        <v>331</v>
      </c>
      <c r="BQ4" s="28" t="s">
        <v>336</v>
      </c>
      <c r="BR4" s="28" t="s">
        <v>341</v>
      </c>
      <c r="BS4" s="28" t="s">
        <v>347</v>
      </c>
      <c r="BT4" s="28" t="s">
        <v>352</v>
      </c>
      <c r="BU4" s="28" t="s">
        <v>356</v>
      </c>
      <c r="BV4" s="28" t="s">
        <v>360</v>
      </c>
      <c r="BW4" s="28" t="s">
        <v>366</v>
      </c>
      <c r="BX4" s="28" t="s">
        <v>374</v>
      </c>
      <c r="BY4" s="28" t="s">
        <v>379</v>
      </c>
      <c r="BZ4" s="28" t="s">
        <v>385</v>
      </c>
      <c r="CA4" s="28" t="s">
        <v>389</v>
      </c>
      <c r="CB4" s="28" t="s">
        <v>395</v>
      </c>
      <c r="CC4" s="28" t="s">
        <v>400</v>
      </c>
      <c r="CD4" s="28" t="s">
        <v>404</v>
      </c>
      <c r="CE4" s="28" t="s">
        <v>408</v>
      </c>
      <c r="CF4" s="28" t="s">
        <v>412</v>
      </c>
      <c r="CG4" s="28" t="s">
        <v>416</v>
      </c>
      <c r="CH4" s="28" t="s">
        <v>420</v>
      </c>
      <c r="CI4" s="28" t="s">
        <v>424</v>
      </c>
      <c r="CJ4" s="28" t="s">
        <v>428</v>
      </c>
      <c r="CK4" s="28" t="s">
        <v>432</v>
      </c>
      <c r="CL4" s="28" t="s">
        <v>435</v>
      </c>
      <c r="CM4" s="28" t="s">
        <v>442</v>
      </c>
      <c r="CN4" s="28" t="s">
        <v>448</v>
      </c>
      <c r="CO4" s="28" t="s">
        <v>454</v>
      </c>
      <c r="CP4" s="28" t="s">
        <v>457</v>
      </c>
      <c r="CQ4" s="28" t="s">
        <v>461</v>
      </c>
      <c r="CR4" s="28" t="s">
        <v>464</v>
      </c>
      <c r="CS4" s="28" t="s">
        <v>467</v>
      </c>
      <c r="CT4" s="28" t="s">
        <v>471</v>
      </c>
      <c r="CU4" s="28" t="s">
        <v>474</v>
      </c>
      <c r="CV4" s="28" t="s">
        <v>477</v>
      </c>
      <c r="CW4" s="28" t="s">
        <v>481</v>
      </c>
      <c r="CX4" s="28" t="s">
        <v>487</v>
      </c>
      <c r="CY4" s="28" t="s">
        <v>491</v>
      </c>
      <c r="CZ4" s="28" t="s">
        <v>494</v>
      </c>
      <c r="DA4" s="28" t="s">
        <v>499</v>
      </c>
      <c r="DB4" s="28" t="s">
        <v>503</v>
      </c>
      <c r="DC4" s="28" t="s">
        <v>506</v>
      </c>
      <c r="DD4" s="28" t="s">
        <v>512</v>
      </c>
      <c r="DE4" s="28" t="s">
        <v>517</v>
      </c>
      <c r="DF4" s="28" t="s">
        <v>521</v>
      </c>
      <c r="DG4" s="28" t="s">
        <v>526</v>
      </c>
      <c r="DH4" s="28" t="s">
        <v>531</v>
      </c>
      <c r="DI4" s="28" t="s">
        <v>536</v>
      </c>
      <c r="DJ4" s="28" t="s">
        <v>539</v>
      </c>
      <c r="DK4" s="28" t="s">
        <v>544</v>
      </c>
      <c r="DL4" s="28" t="s">
        <v>549</v>
      </c>
      <c r="DM4" s="28" t="s">
        <v>552</v>
      </c>
      <c r="DN4" s="28" t="s">
        <v>556</v>
      </c>
      <c r="DO4" s="28" t="s">
        <v>559</v>
      </c>
      <c r="DP4" s="28" t="s">
        <v>564</v>
      </c>
      <c r="DQ4" s="28" t="s">
        <v>567</v>
      </c>
      <c r="DR4" s="28" t="s">
        <v>571</v>
      </c>
      <c r="DS4" s="28" t="s">
        <v>575</v>
      </c>
      <c r="DT4" s="28" t="s">
        <v>580</v>
      </c>
      <c r="DU4" s="28" t="s">
        <v>583</v>
      </c>
      <c r="DV4" s="28" t="s">
        <v>587</v>
      </c>
      <c r="DW4" s="28" t="s">
        <v>591</v>
      </c>
      <c r="DX4" s="28" t="s">
        <v>594</v>
      </c>
      <c r="DY4" s="28" t="s">
        <v>598</v>
      </c>
      <c r="DZ4" s="28" t="s">
        <v>604</v>
      </c>
      <c r="EA4" s="28" t="s">
        <v>609</v>
      </c>
      <c r="EB4" s="28" t="s">
        <v>613</v>
      </c>
      <c r="EC4" s="28" t="s">
        <v>617</v>
      </c>
      <c r="ED4" s="28" t="s">
        <v>622</v>
      </c>
      <c r="EE4" s="28" t="s">
        <v>629</v>
      </c>
      <c r="EF4" s="28" t="s">
        <v>633</v>
      </c>
      <c r="EG4" s="28" t="s">
        <v>641</v>
      </c>
      <c r="EH4" s="28" t="s">
        <v>652</v>
      </c>
      <c r="EI4" s="28" t="s">
        <v>655</v>
      </c>
      <c r="EJ4" s="28" t="s">
        <v>658</v>
      </c>
      <c r="EK4" s="28" t="s">
        <v>666</v>
      </c>
      <c r="EL4" s="28" t="s">
        <v>669</v>
      </c>
      <c r="EM4" s="28" t="s">
        <v>673</v>
      </c>
      <c r="EN4" s="28" t="s">
        <v>677</v>
      </c>
      <c r="EO4" s="28" t="s">
        <v>680</v>
      </c>
      <c r="EP4" s="28" t="s">
        <v>686</v>
      </c>
      <c r="EQ4" s="28" t="s">
        <v>689</v>
      </c>
      <c r="ER4" s="28" t="s">
        <v>693</v>
      </c>
      <c r="ES4" s="28" t="s">
        <v>697</v>
      </c>
      <c r="ET4" s="28" t="s">
        <v>700</v>
      </c>
      <c r="EU4" s="28" t="s">
        <v>713</v>
      </c>
      <c r="EV4" s="28" t="s">
        <v>718</v>
      </c>
      <c r="EW4" s="28" t="s">
        <v>722</v>
      </c>
      <c r="EX4" s="28" t="s">
        <v>728</v>
      </c>
      <c r="EY4" s="28" t="s">
        <v>732</v>
      </c>
      <c r="EZ4" s="28" t="s">
        <v>736</v>
      </c>
      <c r="FA4" s="28" t="s">
        <v>746</v>
      </c>
      <c r="FB4" s="28" t="s">
        <v>752</v>
      </c>
      <c r="FC4" s="28" t="s">
        <v>759</v>
      </c>
      <c r="FD4" s="28" t="s">
        <v>765</v>
      </c>
      <c r="FE4" s="28" t="s">
        <v>775</v>
      </c>
      <c r="FF4" s="28" t="s">
        <v>778</v>
      </c>
      <c r="FG4" s="28" t="s">
        <v>781</v>
      </c>
      <c r="FH4" s="28" t="s">
        <v>785</v>
      </c>
      <c r="FI4" s="28" t="s">
        <v>790</v>
      </c>
      <c r="FJ4" s="28" t="s">
        <v>795</v>
      </c>
      <c r="FK4" s="28" t="s">
        <v>799</v>
      </c>
      <c r="FL4" s="28" t="s">
        <v>804</v>
      </c>
      <c r="FM4" s="28" t="s">
        <v>808</v>
      </c>
      <c r="FN4" s="28" t="s">
        <v>812</v>
      </c>
      <c r="FO4" s="28" t="s">
        <v>815</v>
      </c>
      <c r="FP4" s="28" t="s">
        <v>819</v>
      </c>
      <c r="FQ4" s="28" t="s">
        <v>826</v>
      </c>
      <c r="FR4" s="28" t="s">
        <v>830</v>
      </c>
      <c r="FS4" s="28" t="s">
        <v>833</v>
      </c>
      <c r="FT4" s="28" t="s">
        <v>840</v>
      </c>
      <c r="FU4" s="28" t="s">
        <v>845</v>
      </c>
      <c r="FV4" s="28" t="s">
        <v>851</v>
      </c>
      <c r="FW4" s="28" t="s">
        <v>855</v>
      </c>
      <c r="FX4" s="28" t="s">
        <v>859</v>
      </c>
      <c r="FY4" s="28" t="s">
        <v>862</v>
      </c>
      <c r="FZ4" s="28" t="s">
        <v>865</v>
      </c>
      <c r="GA4" s="28" t="s">
        <v>876</v>
      </c>
      <c r="GB4" s="28" t="s">
        <v>880</v>
      </c>
      <c r="GC4" s="28" t="s">
        <v>886</v>
      </c>
      <c r="GD4" s="28" t="s">
        <v>889</v>
      </c>
      <c r="GE4" s="28" t="s">
        <v>893</v>
      </c>
      <c r="GF4" s="28" t="s">
        <v>901</v>
      </c>
      <c r="GG4" s="28" t="s">
        <v>906</v>
      </c>
      <c r="GH4" s="28" t="s">
        <v>909</v>
      </c>
      <c r="GI4" s="28" t="s">
        <v>913</v>
      </c>
      <c r="GJ4" s="28" t="s">
        <v>917</v>
      </c>
      <c r="GK4" s="28" t="s">
        <v>920</v>
      </c>
      <c r="GL4" s="28" t="s">
        <v>924</v>
      </c>
      <c r="GM4" s="28" t="s">
        <v>928</v>
      </c>
      <c r="GN4" s="28" t="s">
        <v>932</v>
      </c>
      <c r="GO4" s="28" t="s">
        <v>936</v>
      </c>
      <c r="GP4" s="28" t="s">
        <v>942</v>
      </c>
      <c r="GQ4" s="28" t="s">
        <v>946</v>
      </c>
      <c r="GR4" s="28" t="s">
        <v>951</v>
      </c>
      <c r="GS4" s="28" t="s">
        <v>957</v>
      </c>
      <c r="GT4" s="28" t="s">
        <v>963</v>
      </c>
      <c r="GU4" s="28" t="s">
        <v>965</v>
      </c>
      <c r="GV4" s="28" t="s">
        <v>969</v>
      </c>
      <c r="GW4" s="28" t="s">
        <v>973</v>
      </c>
      <c r="GX4" s="28" t="s">
        <v>977</v>
      </c>
      <c r="GY4" s="28" t="s">
        <v>980</v>
      </c>
      <c r="GZ4" s="28" t="s">
        <v>988</v>
      </c>
      <c r="HA4" s="28" t="s">
        <v>992</v>
      </c>
      <c r="HB4" s="28" t="s">
        <v>996</v>
      </c>
      <c r="HC4" s="28" t="s">
        <v>998</v>
      </c>
      <c r="HD4" s="28" t="s">
        <v>1002</v>
      </c>
      <c r="HE4" s="28" t="s">
        <v>1007</v>
      </c>
      <c r="HF4" s="28" t="s">
        <v>1019</v>
      </c>
      <c r="HG4" s="28" t="s">
        <v>1024</v>
      </c>
      <c r="HH4" s="28" t="s">
        <v>1035</v>
      </c>
      <c r="HI4" s="28" t="s">
        <v>1042</v>
      </c>
      <c r="HJ4" s="28" t="s">
        <v>1046</v>
      </c>
      <c r="HK4" s="28" t="s">
        <v>1050</v>
      </c>
      <c r="HL4" s="28" t="s">
        <v>1055</v>
      </c>
      <c r="HM4" s="28" t="s">
        <v>1060</v>
      </c>
      <c r="HN4" s="28" t="s">
        <v>1063</v>
      </c>
      <c r="HO4" s="28" t="s">
        <v>1070</v>
      </c>
      <c r="HP4" s="28" t="s">
        <v>1074</v>
      </c>
      <c r="HQ4" s="28" t="s">
        <v>1078</v>
      </c>
      <c r="HR4" s="28" t="s">
        <v>1081</v>
      </c>
      <c r="HS4" s="28" t="s">
        <v>1085</v>
      </c>
      <c r="HT4" s="28" t="s">
        <v>1092</v>
      </c>
      <c r="HU4" s="28" t="s">
        <v>1096</v>
      </c>
      <c r="HV4" s="28" t="s">
        <v>1100</v>
      </c>
      <c r="HW4" s="28" t="s">
        <v>1104</v>
      </c>
      <c r="HX4" s="28" t="s">
        <v>1107</v>
      </c>
      <c r="HY4" s="28" t="s">
        <v>1110</v>
      </c>
      <c r="HZ4" s="28" t="s">
        <v>1113</v>
      </c>
      <c r="IA4" s="28" t="s">
        <v>1116</v>
      </c>
      <c r="IB4" s="28" t="s">
        <v>1120</v>
      </c>
      <c r="IC4" s="28" t="s">
        <v>1125</v>
      </c>
      <c r="ID4" s="28" t="s">
        <v>1128</v>
      </c>
      <c r="IE4" s="28" t="s">
        <v>1132</v>
      </c>
      <c r="IF4" s="28" t="s">
        <v>1136</v>
      </c>
      <c r="IG4" s="28"/>
      <c r="IH4" s="28"/>
      <c r="II4" s="28"/>
      <c r="IJ4" s="28"/>
      <c r="IK4" s="28"/>
      <c r="IL4" s="28"/>
      <c r="IM4" s="28"/>
      <c r="IN4" s="28"/>
      <c r="IO4" s="28"/>
      <c r="IP4" s="28"/>
      <c r="IQ4" s="28"/>
      <c r="IR4" s="28"/>
      <c r="IS4" s="28"/>
      <c r="IT4" s="28"/>
      <c r="IU4" s="28"/>
      <c r="IV4" s="28"/>
      <c r="IW4" s="28"/>
      <c r="IX4" s="28"/>
      <c r="IY4" s="28"/>
      <c r="IZ4" s="28"/>
      <c r="JA4" s="28"/>
      <c r="JB4" s="28"/>
      <c r="JC4" s="28"/>
      <c r="JD4" s="28"/>
      <c r="JE4" s="28"/>
      <c r="JF4" s="28"/>
      <c r="JG4" s="28"/>
      <c r="JH4" s="28"/>
      <c r="JI4" s="28"/>
      <c r="JJ4" s="28"/>
      <c r="JK4" s="28"/>
      <c r="JL4" s="28"/>
      <c r="JM4" s="28"/>
      <c r="JN4" s="28"/>
      <c r="JO4" s="28"/>
      <c r="JP4" s="28"/>
      <c r="JQ4" s="28"/>
      <c r="JR4" s="28"/>
      <c r="JS4" s="28"/>
      <c r="JT4" s="28"/>
      <c r="JU4" s="28"/>
      <c r="JV4" s="28"/>
      <c r="JW4" s="28"/>
      <c r="JX4" s="28"/>
      <c r="JY4" s="28"/>
      <c r="JZ4" s="28"/>
      <c r="KA4" s="28"/>
      <c r="KB4" s="28"/>
      <c r="KC4" s="28"/>
      <c r="KD4" s="28"/>
      <c r="KE4" s="28"/>
      <c r="KF4" s="28"/>
      <c r="KG4" s="28"/>
      <c r="KH4" s="28"/>
      <c r="KI4" s="28"/>
      <c r="KJ4" s="28"/>
      <c r="KK4" s="28"/>
      <c r="KL4" s="28"/>
      <c r="KM4" s="28"/>
      <c r="KN4" s="29"/>
    </row>
    <row r="5">
      <c r="A5" s="26" t="s">
        <v>7</v>
      </c>
      <c r="B5" s="28">
        <v>16.0</v>
      </c>
      <c r="C5" s="28">
        <v>12.0</v>
      </c>
      <c r="D5" s="28" t="s">
        <v>46</v>
      </c>
      <c r="E5" s="28" t="s">
        <v>53</v>
      </c>
      <c r="F5" s="28" t="s">
        <v>59</v>
      </c>
      <c r="G5" s="28" t="s">
        <v>65</v>
      </c>
      <c r="H5" s="28">
        <v>15.0</v>
      </c>
      <c r="I5" s="28">
        <v>14.0</v>
      </c>
      <c r="J5" s="28">
        <v>12.0</v>
      </c>
      <c r="K5" s="28">
        <v>13.0</v>
      </c>
      <c r="L5" s="28">
        <v>11.0</v>
      </c>
      <c r="M5" s="28">
        <v>12.0</v>
      </c>
      <c r="N5" s="28">
        <v>15.0</v>
      </c>
      <c r="O5" s="28">
        <v>15.0</v>
      </c>
      <c r="P5" s="28">
        <v>11.0</v>
      </c>
      <c r="Q5" s="28">
        <v>13.0</v>
      </c>
      <c r="R5" s="28">
        <v>14.0</v>
      </c>
      <c r="S5" s="28">
        <v>12.0</v>
      </c>
      <c r="T5" s="28">
        <v>12.0</v>
      </c>
      <c r="U5" s="28">
        <v>13.0</v>
      </c>
      <c r="V5" s="28">
        <v>13.0</v>
      </c>
      <c r="W5" s="28" t="s">
        <v>134</v>
      </c>
      <c r="X5" s="28">
        <v>12.0</v>
      </c>
      <c r="Y5" s="28">
        <v>9.0</v>
      </c>
      <c r="Z5" s="28">
        <v>12.0</v>
      </c>
      <c r="AA5" s="28">
        <v>14.0</v>
      </c>
      <c r="AB5" s="28">
        <v>13.0</v>
      </c>
      <c r="AC5" s="28">
        <v>17.0</v>
      </c>
      <c r="AD5" s="28">
        <v>10.0</v>
      </c>
      <c r="AE5" s="28">
        <v>14.0</v>
      </c>
      <c r="AF5" s="28">
        <v>12.0</v>
      </c>
      <c r="AG5" s="28" t="s">
        <v>134</v>
      </c>
      <c r="AH5" s="28">
        <v>11.0</v>
      </c>
      <c r="AI5" s="28">
        <v>11.0</v>
      </c>
      <c r="AJ5" s="28">
        <v>16.0</v>
      </c>
      <c r="AK5" s="28">
        <v>15.0</v>
      </c>
      <c r="AL5" s="28">
        <v>13.0</v>
      </c>
      <c r="AM5" s="28">
        <v>11.0</v>
      </c>
      <c r="AN5" s="28">
        <v>16.0</v>
      </c>
      <c r="AO5" s="28">
        <v>15.0</v>
      </c>
      <c r="AP5" s="28">
        <v>14.0</v>
      </c>
      <c r="AQ5" s="28" t="s">
        <v>218</v>
      </c>
      <c r="AR5" s="28" t="s">
        <v>224</v>
      </c>
      <c r="AS5" s="28">
        <v>13.0</v>
      </c>
      <c r="AT5" s="28">
        <v>13.0</v>
      </c>
      <c r="AU5" s="28">
        <v>19.0</v>
      </c>
      <c r="AV5" s="28">
        <v>12.0</v>
      </c>
      <c r="AW5" s="28">
        <v>15.0</v>
      </c>
      <c r="AX5" s="28">
        <v>17.0</v>
      </c>
      <c r="AY5" s="28">
        <v>14.0</v>
      </c>
      <c r="AZ5" s="28">
        <v>19.0</v>
      </c>
      <c r="BA5" s="28">
        <v>13.0</v>
      </c>
      <c r="BB5" s="28">
        <v>14.0</v>
      </c>
      <c r="BC5" s="28" t="s">
        <v>275</v>
      </c>
      <c r="BD5" s="28">
        <v>16.0</v>
      </c>
      <c r="BE5" s="28">
        <v>13.0</v>
      </c>
      <c r="BF5" s="28">
        <v>13.0</v>
      </c>
      <c r="BG5" s="28">
        <v>13.0</v>
      </c>
      <c r="BH5" s="28">
        <v>14.0</v>
      </c>
      <c r="BI5" s="28">
        <v>17.0</v>
      </c>
      <c r="BJ5" s="28">
        <v>13.0</v>
      </c>
      <c r="BK5" s="28">
        <v>13.0</v>
      </c>
      <c r="BL5" s="28">
        <v>14.0</v>
      </c>
      <c r="BM5" s="28">
        <v>12.0</v>
      </c>
      <c r="BN5" s="28">
        <v>17.0</v>
      </c>
      <c r="BO5" s="28">
        <v>18.0</v>
      </c>
      <c r="BP5" s="28">
        <v>16.0</v>
      </c>
      <c r="BQ5" s="28">
        <v>17.0</v>
      </c>
      <c r="BR5" s="28">
        <v>17.0</v>
      </c>
      <c r="BS5" s="28">
        <v>16.0</v>
      </c>
      <c r="BT5" s="28">
        <v>16.0</v>
      </c>
      <c r="BU5" s="28">
        <v>16.0</v>
      </c>
      <c r="BV5" s="28">
        <v>16.0</v>
      </c>
      <c r="BW5" s="28">
        <v>11.0</v>
      </c>
      <c r="BX5" s="28">
        <v>13.0</v>
      </c>
      <c r="BY5" s="28" t="s">
        <v>380</v>
      </c>
      <c r="BZ5" s="28">
        <v>13.0</v>
      </c>
      <c r="CA5" s="28">
        <v>15.0</v>
      </c>
      <c r="CB5" s="28">
        <v>16.0</v>
      </c>
      <c r="CC5" s="28">
        <v>17.0</v>
      </c>
      <c r="CD5" s="28">
        <v>15.0</v>
      </c>
      <c r="CE5" s="28">
        <v>15.0</v>
      </c>
      <c r="CF5" s="28">
        <v>14.0</v>
      </c>
      <c r="CG5" s="28">
        <v>13.0</v>
      </c>
      <c r="CH5" s="28">
        <v>12.0</v>
      </c>
      <c r="CI5" s="28">
        <v>13.0</v>
      </c>
      <c r="CJ5" s="28">
        <v>12.0</v>
      </c>
      <c r="CK5" s="28">
        <v>16.0</v>
      </c>
      <c r="CL5" s="28">
        <v>11.0</v>
      </c>
      <c r="CM5" s="28">
        <v>11.0</v>
      </c>
      <c r="CN5" s="28">
        <v>13.0</v>
      </c>
      <c r="CO5" s="28">
        <v>11.0</v>
      </c>
      <c r="CP5" s="28">
        <v>15.0</v>
      </c>
      <c r="CQ5" s="28">
        <v>15.0</v>
      </c>
      <c r="CR5" s="28">
        <v>14.0</v>
      </c>
      <c r="CS5" s="28">
        <v>12.0</v>
      </c>
      <c r="CT5" s="28">
        <v>11.0</v>
      </c>
      <c r="CU5" s="28">
        <v>17.0</v>
      </c>
      <c r="CV5" s="28">
        <v>15.0</v>
      </c>
      <c r="CW5" s="28">
        <v>8.0</v>
      </c>
      <c r="CX5" s="28" t="s">
        <v>488</v>
      </c>
      <c r="CY5" s="28" t="s">
        <v>134</v>
      </c>
      <c r="CZ5" s="28" t="s">
        <v>495</v>
      </c>
      <c r="DA5" s="28">
        <v>11.0</v>
      </c>
      <c r="DB5" s="28">
        <v>14.0</v>
      </c>
      <c r="DC5" s="28">
        <v>12.0</v>
      </c>
      <c r="DD5" s="28">
        <v>14.0</v>
      </c>
      <c r="DE5" s="28">
        <v>9.0</v>
      </c>
      <c r="DF5" s="28">
        <v>19.0</v>
      </c>
      <c r="DG5" s="28">
        <v>18.0</v>
      </c>
      <c r="DH5" s="28">
        <v>18.0</v>
      </c>
      <c r="DI5" s="28">
        <v>12.0</v>
      </c>
      <c r="DJ5" s="28">
        <v>11.0</v>
      </c>
      <c r="DK5" s="28">
        <v>14.0</v>
      </c>
      <c r="DL5" s="28">
        <v>12.0</v>
      </c>
      <c r="DM5" s="28">
        <v>12.0</v>
      </c>
      <c r="DN5" s="28">
        <v>15.0</v>
      </c>
      <c r="DO5" s="28">
        <v>14.0</v>
      </c>
      <c r="DP5" s="28">
        <v>15.0</v>
      </c>
      <c r="DQ5" s="28">
        <v>14.0</v>
      </c>
      <c r="DR5" s="28">
        <v>13.0</v>
      </c>
      <c r="DS5" s="28">
        <v>13.0</v>
      </c>
      <c r="DT5" s="28">
        <v>13.0</v>
      </c>
      <c r="DU5" s="28">
        <v>12.0</v>
      </c>
      <c r="DV5" s="28">
        <v>15.0</v>
      </c>
      <c r="DW5" s="28">
        <v>11.0</v>
      </c>
      <c r="DX5" s="28">
        <v>15.0</v>
      </c>
      <c r="DY5" s="28">
        <v>13.0</v>
      </c>
      <c r="DZ5" s="28">
        <v>11.0</v>
      </c>
      <c r="EA5" s="28">
        <v>17.0</v>
      </c>
      <c r="EB5" s="28">
        <v>13.0</v>
      </c>
      <c r="EC5" s="28">
        <v>13.0</v>
      </c>
      <c r="ED5" s="28">
        <v>18.0</v>
      </c>
      <c r="EE5" s="28">
        <v>9.0</v>
      </c>
      <c r="EF5" s="28">
        <v>13.0</v>
      </c>
      <c r="EG5" s="28">
        <v>16.0</v>
      </c>
      <c r="EH5" s="28">
        <v>12.0</v>
      </c>
      <c r="EI5" s="28" t="s">
        <v>495</v>
      </c>
      <c r="EJ5" s="28">
        <v>11.0</v>
      </c>
      <c r="EK5" s="28">
        <v>15.0</v>
      </c>
      <c r="EL5" s="28">
        <v>13.0</v>
      </c>
      <c r="EM5" s="28">
        <v>14.0</v>
      </c>
      <c r="EN5" s="28">
        <v>11.0</v>
      </c>
      <c r="EO5" s="28">
        <v>14.0</v>
      </c>
      <c r="EP5" s="28">
        <v>11.0</v>
      </c>
      <c r="EQ5" s="28">
        <v>12.0</v>
      </c>
      <c r="ER5" s="28">
        <v>14.0</v>
      </c>
      <c r="ES5" s="28">
        <v>11.0</v>
      </c>
      <c r="ET5" s="28">
        <v>17.0</v>
      </c>
      <c r="EU5" s="28">
        <v>13.0</v>
      </c>
      <c r="EV5" s="28">
        <v>13.0</v>
      </c>
      <c r="EW5" s="28">
        <v>16.0</v>
      </c>
      <c r="EX5" s="28">
        <v>13.0</v>
      </c>
      <c r="EY5" s="28">
        <v>13.0</v>
      </c>
      <c r="EZ5" s="28" t="s">
        <v>46</v>
      </c>
      <c r="FA5" s="28">
        <v>9.0</v>
      </c>
      <c r="FB5" s="28">
        <v>13.0</v>
      </c>
      <c r="FC5" s="28">
        <v>9.0</v>
      </c>
      <c r="FD5" s="28">
        <v>11.0</v>
      </c>
      <c r="FE5" s="28">
        <v>15.0</v>
      </c>
      <c r="FF5" s="28">
        <v>14.0</v>
      </c>
      <c r="FG5" s="28">
        <v>13.0</v>
      </c>
      <c r="FH5" s="28">
        <v>9.0</v>
      </c>
      <c r="FI5" s="28">
        <v>16.0</v>
      </c>
      <c r="FJ5" s="28">
        <v>13.0</v>
      </c>
      <c r="FK5" s="28">
        <v>13.0</v>
      </c>
      <c r="FL5" s="28">
        <v>13.0</v>
      </c>
      <c r="FM5" s="28">
        <v>14.0</v>
      </c>
      <c r="FN5" s="28">
        <v>10.0</v>
      </c>
      <c r="FO5" s="28">
        <v>12.0</v>
      </c>
      <c r="FP5" s="28">
        <v>16.0</v>
      </c>
      <c r="FQ5" s="28">
        <v>12.0</v>
      </c>
      <c r="FR5" s="28" t="s">
        <v>134</v>
      </c>
      <c r="FS5" s="28" t="s">
        <v>380</v>
      </c>
      <c r="FT5" s="28">
        <v>18.0</v>
      </c>
      <c r="FU5" s="28">
        <v>16.0</v>
      </c>
      <c r="FV5" s="28">
        <v>10.0</v>
      </c>
      <c r="FW5" s="28">
        <v>12.0</v>
      </c>
      <c r="FX5" s="28">
        <v>11.0</v>
      </c>
      <c r="FY5" s="28">
        <v>10.0</v>
      </c>
      <c r="FZ5" s="28">
        <v>17.0</v>
      </c>
      <c r="GA5" s="28" t="s">
        <v>53</v>
      </c>
      <c r="GB5" s="28">
        <v>16.0</v>
      </c>
      <c r="GC5" s="28">
        <v>14.0</v>
      </c>
      <c r="GD5" s="28">
        <v>15.0</v>
      </c>
      <c r="GE5" s="28">
        <v>14.0</v>
      </c>
      <c r="GF5" s="28">
        <v>9.0</v>
      </c>
      <c r="GG5" s="28">
        <v>13.0</v>
      </c>
      <c r="GH5" s="28">
        <v>14.0</v>
      </c>
      <c r="GI5" s="28">
        <v>13.0</v>
      </c>
      <c r="GJ5" s="28">
        <v>13.0</v>
      </c>
      <c r="GK5" s="28">
        <v>12.0</v>
      </c>
      <c r="GL5" s="28">
        <v>11.0</v>
      </c>
      <c r="GM5" s="28">
        <v>14.0</v>
      </c>
      <c r="GN5" s="28">
        <v>12.0</v>
      </c>
      <c r="GO5" s="28">
        <v>14.0</v>
      </c>
      <c r="GP5" s="28">
        <v>11.0</v>
      </c>
      <c r="GQ5" s="28">
        <v>13.0</v>
      </c>
      <c r="GR5" s="28">
        <v>12.0</v>
      </c>
      <c r="GS5" s="28" t="s">
        <v>958</v>
      </c>
      <c r="GT5" s="28">
        <v>12.0</v>
      </c>
      <c r="GU5" s="28">
        <v>12.0</v>
      </c>
      <c r="GV5" s="28">
        <v>12.0</v>
      </c>
      <c r="GW5" s="28">
        <v>12.0</v>
      </c>
      <c r="GX5" s="28" t="s">
        <v>380</v>
      </c>
      <c r="GY5" s="28">
        <v>16.0</v>
      </c>
      <c r="GZ5" s="28">
        <v>11.0</v>
      </c>
      <c r="HA5" s="28">
        <v>13.0</v>
      </c>
      <c r="HB5" s="28">
        <v>13.0</v>
      </c>
      <c r="HC5" s="28">
        <v>12.0</v>
      </c>
      <c r="HD5" s="28">
        <v>12.0</v>
      </c>
      <c r="HE5" s="28">
        <v>22.0</v>
      </c>
      <c r="HF5" s="28">
        <v>17.0</v>
      </c>
      <c r="HG5" s="28" t="s">
        <v>1025</v>
      </c>
      <c r="HH5" s="28" t="s">
        <v>1036</v>
      </c>
      <c r="HI5" s="28" t="s">
        <v>1043</v>
      </c>
      <c r="HJ5" s="28">
        <v>14.0</v>
      </c>
      <c r="HK5" s="28">
        <v>12.0</v>
      </c>
      <c r="HL5" s="28">
        <v>13.0</v>
      </c>
      <c r="HM5" s="28">
        <v>12.0</v>
      </c>
      <c r="HN5" s="28">
        <v>15.0</v>
      </c>
      <c r="HO5" s="28" t="s">
        <v>1036</v>
      </c>
      <c r="HP5" s="28">
        <v>7.0</v>
      </c>
      <c r="HQ5" s="28">
        <v>13.0</v>
      </c>
      <c r="HR5" s="28">
        <v>14.0</v>
      </c>
      <c r="HS5" s="28">
        <v>13.0</v>
      </c>
      <c r="HT5" s="28">
        <v>10.0</v>
      </c>
      <c r="HU5" s="28">
        <v>13.0</v>
      </c>
      <c r="HV5" s="28" t="s">
        <v>1036</v>
      </c>
      <c r="HW5" s="28">
        <v>12.0</v>
      </c>
      <c r="HX5" s="28" t="s">
        <v>65</v>
      </c>
      <c r="HY5" s="28">
        <v>13.0</v>
      </c>
      <c r="HZ5" s="28">
        <v>12.0</v>
      </c>
      <c r="IA5" s="28">
        <v>12.0</v>
      </c>
      <c r="IB5" s="28">
        <v>12.0</v>
      </c>
      <c r="IC5" s="28">
        <v>11.0</v>
      </c>
      <c r="ID5" s="28">
        <v>14.0</v>
      </c>
      <c r="IE5" s="28">
        <v>15.0</v>
      </c>
      <c r="IF5" s="28">
        <v>8.0</v>
      </c>
      <c r="IG5" s="28"/>
      <c r="IH5" s="28"/>
      <c r="II5" s="28"/>
      <c r="IJ5" s="28"/>
      <c r="IK5" s="28"/>
      <c r="IL5" s="28"/>
      <c r="IM5" s="28"/>
      <c r="IN5" s="28"/>
      <c r="IO5" s="28"/>
      <c r="IP5" s="28"/>
      <c r="IQ5" s="28"/>
      <c r="IR5" s="28"/>
      <c r="IS5" s="28"/>
      <c r="IT5" s="28"/>
      <c r="IU5" s="28"/>
      <c r="IV5" s="28"/>
      <c r="IW5" s="28"/>
      <c r="IX5" s="28"/>
      <c r="IY5" s="28"/>
      <c r="IZ5" s="28"/>
      <c r="JA5" s="28"/>
      <c r="JB5" s="28"/>
      <c r="JC5" s="28"/>
      <c r="JD5" s="28"/>
      <c r="JE5" s="28"/>
      <c r="JF5" s="28"/>
      <c r="JG5" s="28"/>
      <c r="JH5" s="28"/>
      <c r="JI5" s="28"/>
      <c r="JJ5" s="28"/>
      <c r="JK5" s="28"/>
      <c r="JL5" s="28"/>
      <c r="JM5" s="28"/>
      <c r="JN5" s="28"/>
      <c r="JO5" s="28"/>
      <c r="JP5" s="28"/>
      <c r="JQ5" s="28"/>
      <c r="JR5" s="28"/>
      <c r="JS5" s="28"/>
      <c r="JT5" s="28"/>
      <c r="JU5" s="28"/>
      <c r="JV5" s="28"/>
      <c r="JW5" s="28"/>
      <c r="JX5" s="28"/>
      <c r="JY5" s="28"/>
      <c r="JZ5" s="28"/>
      <c r="KA5" s="28"/>
      <c r="KB5" s="28"/>
      <c r="KC5" s="28"/>
      <c r="KD5" s="28"/>
      <c r="KE5" s="28"/>
      <c r="KF5" s="28"/>
      <c r="KG5" s="28"/>
      <c r="KH5" s="28"/>
      <c r="KI5" s="28"/>
      <c r="KJ5" s="28"/>
      <c r="KK5" s="28"/>
      <c r="KL5" s="28"/>
      <c r="KM5" s="28"/>
      <c r="KN5" s="29"/>
    </row>
    <row r="6">
      <c r="A6" s="26" t="s">
        <v>8</v>
      </c>
      <c r="B6" s="28">
        <v>39.0</v>
      </c>
      <c r="C6" s="28">
        <v>4.0</v>
      </c>
      <c r="D6" s="28">
        <v>76.0</v>
      </c>
      <c r="E6" s="28">
        <v>42.0</v>
      </c>
      <c r="F6" s="28">
        <v>53.0</v>
      </c>
      <c r="G6" s="28">
        <v>14.0</v>
      </c>
      <c r="H6" s="28">
        <v>11.0</v>
      </c>
      <c r="I6" s="28">
        <v>14.0</v>
      </c>
      <c r="J6" s="28">
        <v>10.0</v>
      </c>
      <c r="K6" s="28">
        <v>19.0</v>
      </c>
      <c r="L6" s="28">
        <v>3.0</v>
      </c>
      <c r="M6" s="28">
        <v>44.0</v>
      </c>
      <c r="N6" s="28">
        <v>38.0</v>
      </c>
      <c r="O6" s="28">
        <v>15.0</v>
      </c>
      <c r="P6" s="28">
        <v>5.0</v>
      </c>
      <c r="Q6" s="28">
        <v>4.0</v>
      </c>
      <c r="R6" s="28">
        <v>25.0</v>
      </c>
      <c r="S6" s="28">
        <v>9.0</v>
      </c>
      <c r="T6" s="28">
        <v>18.0</v>
      </c>
      <c r="U6" s="28">
        <v>25.0</v>
      </c>
      <c r="V6" s="28">
        <v>34.0</v>
      </c>
      <c r="W6" s="28">
        <v>5.0</v>
      </c>
      <c r="X6" s="28">
        <v>10.0</v>
      </c>
      <c r="Y6" s="28">
        <v>30.0</v>
      </c>
      <c r="Z6" s="28">
        <v>14.0</v>
      </c>
      <c r="AA6" s="28">
        <v>36.0</v>
      </c>
      <c r="AB6" s="28">
        <v>14.0</v>
      </c>
      <c r="AC6" s="28">
        <v>40.0</v>
      </c>
      <c r="AD6" s="28">
        <v>12.0</v>
      </c>
      <c r="AE6" s="28">
        <v>28.0</v>
      </c>
      <c r="AF6" s="28">
        <v>18.0</v>
      </c>
      <c r="AG6" s="28">
        <v>14.0</v>
      </c>
      <c r="AH6" s="28">
        <v>4.0</v>
      </c>
      <c r="AI6" s="28">
        <v>18.0</v>
      </c>
      <c r="AJ6" s="28">
        <v>49.0</v>
      </c>
      <c r="AK6" s="28">
        <v>25.0</v>
      </c>
      <c r="AL6" s="28">
        <v>28.0</v>
      </c>
      <c r="AM6" s="28">
        <v>14.0</v>
      </c>
      <c r="AN6" s="28">
        <v>42.0</v>
      </c>
      <c r="AO6" s="28">
        <v>24.0</v>
      </c>
      <c r="AP6" s="28">
        <v>20.0</v>
      </c>
      <c r="AQ6" s="28">
        <v>9.0</v>
      </c>
      <c r="AR6" s="28">
        <v>38.0</v>
      </c>
      <c r="AS6" s="28">
        <v>4.0</v>
      </c>
      <c r="AT6" s="28">
        <v>10.0</v>
      </c>
      <c r="AU6" s="28">
        <v>77.0</v>
      </c>
      <c r="AV6" s="28">
        <v>11.0</v>
      </c>
      <c r="AW6" s="28">
        <v>40.0</v>
      </c>
      <c r="AX6" s="28">
        <v>44.0</v>
      </c>
      <c r="AY6" s="28">
        <v>24.0</v>
      </c>
      <c r="AZ6" s="28">
        <v>76.0</v>
      </c>
      <c r="BA6" s="28">
        <v>14.0</v>
      </c>
      <c r="BB6" s="28">
        <v>29.0</v>
      </c>
      <c r="BC6" s="28">
        <v>43.0</v>
      </c>
      <c r="BD6" s="28">
        <v>35.0</v>
      </c>
      <c r="BE6" s="28">
        <v>9.0</v>
      </c>
      <c r="BF6" s="28">
        <v>57.0</v>
      </c>
      <c r="BG6" s="28">
        <v>30.0</v>
      </c>
      <c r="BH6" s="28">
        <v>20.0</v>
      </c>
      <c r="BI6" s="28">
        <v>35.0</v>
      </c>
      <c r="BJ6" s="28">
        <v>44.0</v>
      </c>
      <c r="BK6" s="28">
        <v>10.0</v>
      </c>
      <c r="BL6" s="28">
        <v>48.0</v>
      </c>
      <c r="BM6" s="28">
        <v>20.0</v>
      </c>
      <c r="BN6" s="28">
        <v>61.0</v>
      </c>
      <c r="BO6" s="28">
        <v>80.0</v>
      </c>
      <c r="BP6" s="28">
        <v>58.0</v>
      </c>
      <c r="BQ6" s="28">
        <v>68.0</v>
      </c>
      <c r="BR6" s="28">
        <v>76.0</v>
      </c>
      <c r="BS6" s="28">
        <v>58.0</v>
      </c>
      <c r="BT6" s="28">
        <v>9.0</v>
      </c>
      <c r="BU6" s="28">
        <v>29.0</v>
      </c>
      <c r="BV6" s="28">
        <v>28.0</v>
      </c>
      <c r="BW6" s="28">
        <v>31.0</v>
      </c>
      <c r="BX6" s="28">
        <v>19.0</v>
      </c>
      <c r="BY6" s="28">
        <v>12.0</v>
      </c>
      <c r="BZ6" s="28">
        <v>10.0</v>
      </c>
      <c r="CA6" s="28">
        <v>43.0</v>
      </c>
      <c r="CB6" s="28" t="s">
        <v>396</v>
      </c>
      <c r="CC6" s="28" t="s">
        <v>396</v>
      </c>
      <c r="CD6" s="28" t="s">
        <v>396</v>
      </c>
      <c r="CE6" s="28" t="s">
        <v>396</v>
      </c>
      <c r="CF6" s="28">
        <v>34.0</v>
      </c>
      <c r="CG6" s="28">
        <v>9.0</v>
      </c>
      <c r="CH6" s="28">
        <v>14.0</v>
      </c>
      <c r="CI6" s="28">
        <v>4.0</v>
      </c>
      <c r="CJ6" s="28">
        <v>10.0</v>
      </c>
      <c r="CK6" s="28">
        <v>20.0</v>
      </c>
      <c r="CL6" s="28">
        <v>24.0</v>
      </c>
      <c r="CM6" s="28">
        <v>20.0</v>
      </c>
      <c r="CN6" s="28">
        <v>27.0</v>
      </c>
      <c r="CO6" s="28">
        <v>11.0</v>
      </c>
      <c r="CP6" s="28">
        <v>48.0</v>
      </c>
      <c r="CQ6" s="28">
        <v>44.0</v>
      </c>
      <c r="CR6" s="28">
        <v>44.0</v>
      </c>
      <c r="CS6" s="28">
        <v>39.0</v>
      </c>
      <c r="CT6" s="28">
        <v>34.0</v>
      </c>
      <c r="CU6" s="28">
        <v>40.0</v>
      </c>
      <c r="CV6" s="28">
        <v>58.0</v>
      </c>
      <c r="CW6" s="28">
        <v>21.0</v>
      </c>
      <c r="CX6" s="28">
        <v>15.0</v>
      </c>
      <c r="CY6" s="28">
        <v>10.0</v>
      </c>
      <c r="CZ6" s="28">
        <v>14.0</v>
      </c>
      <c r="DA6" s="28">
        <v>5.0</v>
      </c>
      <c r="DB6" s="28">
        <v>20.0</v>
      </c>
      <c r="DC6" s="28">
        <v>19.0</v>
      </c>
      <c r="DD6" s="28">
        <v>40.0</v>
      </c>
      <c r="DE6" s="28">
        <v>35.0</v>
      </c>
      <c r="DF6" s="28">
        <v>49.0</v>
      </c>
      <c r="DG6" s="28">
        <v>40.0</v>
      </c>
      <c r="DH6" s="28">
        <v>33.0</v>
      </c>
      <c r="DI6" s="28">
        <v>20.0</v>
      </c>
      <c r="DJ6" s="28">
        <v>9.0</v>
      </c>
      <c r="DK6" s="28">
        <v>19.0</v>
      </c>
      <c r="DL6" s="28">
        <v>19.0</v>
      </c>
      <c r="DM6" s="28">
        <v>43.0</v>
      </c>
      <c r="DN6" s="28">
        <v>4.0</v>
      </c>
      <c r="DO6" s="28">
        <v>37.0</v>
      </c>
      <c r="DP6" s="28">
        <v>28.0</v>
      </c>
      <c r="DQ6" s="28">
        <v>28.0</v>
      </c>
      <c r="DR6" s="28">
        <v>14.0</v>
      </c>
      <c r="DS6" s="28">
        <v>19.0</v>
      </c>
      <c r="DT6" s="28">
        <v>14.0</v>
      </c>
      <c r="DU6" s="28">
        <v>24.0</v>
      </c>
      <c r="DV6" s="28">
        <v>10.0</v>
      </c>
      <c r="DW6" s="28">
        <v>11.0</v>
      </c>
      <c r="DX6" s="28" t="s">
        <v>396</v>
      </c>
      <c r="DY6" s="28">
        <v>29.0</v>
      </c>
      <c r="DZ6" s="28">
        <v>1.0</v>
      </c>
      <c r="EA6" s="28">
        <v>14.0</v>
      </c>
      <c r="EB6" s="28">
        <v>1.0</v>
      </c>
      <c r="EC6" s="28">
        <v>13.0</v>
      </c>
      <c r="ED6" s="28">
        <v>80.0</v>
      </c>
      <c r="EE6" s="28">
        <v>10.0</v>
      </c>
      <c r="EF6" s="28">
        <v>19.0</v>
      </c>
      <c r="EG6" s="28">
        <v>62.0</v>
      </c>
      <c r="EH6" s="28">
        <v>15.0</v>
      </c>
      <c r="EI6" s="28">
        <v>11.0</v>
      </c>
      <c r="EJ6" s="28">
        <v>27.0</v>
      </c>
      <c r="EK6" s="28">
        <v>44.0</v>
      </c>
      <c r="EL6" s="28">
        <v>37.0</v>
      </c>
      <c r="EM6" s="28">
        <v>29.0</v>
      </c>
      <c r="EN6" s="28">
        <v>4.0</v>
      </c>
      <c r="EO6" s="28">
        <v>38.0</v>
      </c>
      <c r="EP6" s="28">
        <v>9.0</v>
      </c>
      <c r="EQ6" s="28">
        <v>23.0</v>
      </c>
      <c r="ER6" s="28">
        <v>34.0</v>
      </c>
      <c r="ES6" s="28">
        <v>19.0</v>
      </c>
      <c r="ET6" s="28">
        <v>89.0</v>
      </c>
      <c r="EU6" s="28">
        <v>47.0</v>
      </c>
      <c r="EV6" s="28">
        <v>15.0</v>
      </c>
      <c r="EW6" s="28">
        <v>43.0</v>
      </c>
      <c r="EX6" s="28">
        <v>31.0</v>
      </c>
      <c r="EY6" s="28">
        <v>29.0</v>
      </c>
      <c r="EZ6" s="28">
        <v>76.0</v>
      </c>
      <c r="FA6" s="28" t="s">
        <v>747</v>
      </c>
      <c r="FB6" s="28" t="s">
        <v>753</v>
      </c>
      <c r="FC6" s="28" t="s">
        <v>760</v>
      </c>
      <c r="FD6" s="28" t="s">
        <v>766</v>
      </c>
      <c r="FE6" s="28">
        <v>4.0</v>
      </c>
      <c r="FF6" s="28">
        <v>19.0</v>
      </c>
      <c r="FG6" s="28">
        <v>35.0</v>
      </c>
      <c r="FH6" s="28">
        <v>30.0</v>
      </c>
      <c r="FI6" s="28">
        <v>43.0</v>
      </c>
      <c r="FJ6" s="28">
        <v>34.0</v>
      </c>
      <c r="FK6" s="28">
        <v>23.0</v>
      </c>
      <c r="FL6" s="28">
        <v>30.0</v>
      </c>
      <c r="FM6" s="28">
        <v>3.0</v>
      </c>
      <c r="FN6" s="28">
        <v>4.0</v>
      </c>
      <c r="FO6" s="28">
        <v>15.0</v>
      </c>
      <c r="FP6" s="28">
        <v>60.0</v>
      </c>
      <c r="FQ6" s="28">
        <v>13.0</v>
      </c>
      <c r="FR6" s="28">
        <v>4.0</v>
      </c>
      <c r="FS6" s="28">
        <v>23.0</v>
      </c>
      <c r="FT6" s="28">
        <v>57.0</v>
      </c>
      <c r="FU6" s="28">
        <v>39.0</v>
      </c>
      <c r="FV6" s="28">
        <v>1.0</v>
      </c>
      <c r="FW6" s="28">
        <v>10.0</v>
      </c>
      <c r="FX6" s="28">
        <v>5.0</v>
      </c>
      <c r="FY6" s="28">
        <v>28.0</v>
      </c>
      <c r="FZ6" s="28">
        <v>89.0</v>
      </c>
      <c r="GA6" s="28">
        <v>28.0</v>
      </c>
      <c r="GB6" s="28">
        <v>47.0</v>
      </c>
      <c r="GC6" s="28">
        <v>25.0</v>
      </c>
      <c r="GD6" s="28">
        <v>69.0</v>
      </c>
      <c r="GE6" s="28">
        <v>31.0</v>
      </c>
      <c r="GF6" s="28">
        <v>10.0</v>
      </c>
      <c r="GG6" s="28">
        <v>19.0</v>
      </c>
      <c r="GH6" s="28">
        <v>9.0</v>
      </c>
      <c r="GI6" s="28">
        <v>24.0</v>
      </c>
      <c r="GJ6" s="28">
        <v>14.0</v>
      </c>
      <c r="GK6" s="28">
        <v>15.0</v>
      </c>
      <c r="GL6" s="28">
        <v>1.0</v>
      </c>
      <c r="GM6" s="28">
        <v>13.0</v>
      </c>
      <c r="GN6" s="28">
        <v>15.0</v>
      </c>
      <c r="GO6" s="28" t="s">
        <v>747</v>
      </c>
      <c r="GP6" s="28" t="s">
        <v>943</v>
      </c>
      <c r="GQ6" s="28" t="s">
        <v>947</v>
      </c>
      <c r="GR6" s="28" t="s">
        <v>952</v>
      </c>
      <c r="GS6" s="28" t="s">
        <v>959</v>
      </c>
      <c r="GT6" s="28">
        <v>14.0</v>
      </c>
      <c r="GU6" s="28">
        <v>4.0</v>
      </c>
      <c r="GV6" s="28">
        <v>23.0</v>
      </c>
      <c r="GW6" s="28">
        <v>19.0</v>
      </c>
      <c r="GX6" s="28">
        <v>10.0</v>
      </c>
      <c r="GY6" s="28">
        <v>42.0</v>
      </c>
      <c r="GZ6" s="28">
        <v>1.0</v>
      </c>
      <c r="HA6" s="28">
        <v>13.0</v>
      </c>
      <c r="HB6" s="28">
        <v>9.0</v>
      </c>
      <c r="HC6" s="28">
        <v>4.0</v>
      </c>
      <c r="HD6" s="28">
        <v>14.0</v>
      </c>
      <c r="HE6" s="28">
        <v>140.0</v>
      </c>
      <c r="HF6" s="28">
        <v>85.0</v>
      </c>
      <c r="HG6" s="28">
        <v>71.0</v>
      </c>
      <c r="HH6" s="28" t="s">
        <v>1037</v>
      </c>
      <c r="HI6" s="28" t="s">
        <v>762</v>
      </c>
      <c r="HJ6" s="28" t="s">
        <v>947</v>
      </c>
      <c r="HK6" s="28" t="s">
        <v>1051</v>
      </c>
      <c r="HL6" s="28">
        <v>34.0</v>
      </c>
      <c r="HM6" s="28">
        <v>20.0</v>
      </c>
      <c r="HN6" s="28">
        <v>52.0</v>
      </c>
      <c r="HO6" s="28">
        <v>25.0</v>
      </c>
      <c r="HP6" s="28">
        <v>9.0</v>
      </c>
      <c r="HQ6" s="28">
        <v>13.0</v>
      </c>
      <c r="HR6" s="28">
        <v>28.0</v>
      </c>
      <c r="HS6" s="28">
        <v>37.0</v>
      </c>
      <c r="HT6" s="28">
        <v>5.0</v>
      </c>
      <c r="HU6" s="28">
        <v>9.0</v>
      </c>
      <c r="HV6" s="28">
        <v>14.0</v>
      </c>
      <c r="HW6" s="28">
        <v>20.0</v>
      </c>
      <c r="HX6" s="28">
        <v>15.0</v>
      </c>
      <c r="HY6" s="28">
        <v>10.0</v>
      </c>
      <c r="HZ6" s="28">
        <v>10.0</v>
      </c>
      <c r="IA6" s="28">
        <v>19.0</v>
      </c>
      <c r="IB6" s="28">
        <v>23.0</v>
      </c>
      <c r="IC6" s="28">
        <v>14.0</v>
      </c>
      <c r="ID6" s="28">
        <v>36.0</v>
      </c>
      <c r="IE6" s="28">
        <v>37.0</v>
      </c>
      <c r="IF6" s="28">
        <v>11.0</v>
      </c>
      <c r="IG6" s="28"/>
      <c r="IH6" s="28"/>
      <c r="II6" s="28"/>
      <c r="IJ6" s="28"/>
      <c r="IK6" s="28"/>
      <c r="IL6" s="28"/>
      <c r="IM6" s="28"/>
      <c r="IN6" s="28"/>
      <c r="IO6" s="28"/>
      <c r="IP6" s="28"/>
      <c r="IQ6" s="28"/>
      <c r="IR6" s="28"/>
      <c r="IS6" s="28"/>
      <c r="IT6" s="28"/>
      <c r="IU6" s="28"/>
      <c r="IV6" s="28"/>
      <c r="IW6" s="28"/>
      <c r="IX6" s="28"/>
      <c r="IY6" s="28"/>
      <c r="IZ6" s="28"/>
      <c r="JA6" s="28"/>
      <c r="JB6" s="28"/>
      <c r="JC6" s="28"/>
      <c r="JD6" s="28"/>
      <c r="JE6" s="28"/>
      <c r="JF6" s="28"/>
      <c r="JG6" s="28"/>
      <c r="JH6" s="28"/>
      <c r="JI6" s="28"/>
      <c r="JJ6" s="28"/>
      <c r="JK6" s="28"/>
      <c r="JL6" s="28"/>
      <c r="JM6" s="28"/>
      <c r="JN6" s="28"/>
      <c r="JO6" s="28"/>
      <c r="JP6" s="28"/>
      <c r="JQ6" s="28"/>
      <c r="JR6" s="28"/>
      <c r="JS6" s="28"/>
      <c r="JT6" s="28"/>
      <c r="JU6" s="28"/>
      <c r="JV6" s="28"/>
      <c r="JW6" s="28"/>
      <c r="JX6" s="28"/>
      <c r="JY6" s="28"/>
      <c r="JZ6" s="28"/>
      <c r="KA6" s="28"/>
      <c r="KB6" s="28"/>
      <c r="KC6" s="28"/>
      <c r="KD6" s="28"/>
      <c r="KE6" s="28"/>
      <c r="KF6" s="28"/>
      <c r="KG6" s="28"/>
      <c r="KH6" s="28"/>
      <c r="KI6" s="28"/>
      <c r="KJ6" s="28"/>
      <c r="KK6" s="28"/>
      <c r="KL6" s="28"/>
      <c r="KM6" s="28"/>
      <c r="KN6" s="29"/>
    </row>
    <row r="7">
      <c r="A7" s="26" t="s">
        <v>9</v>
      </c>
      <c r="B7" s="28" t="s">
        <v>32</v>
      </c>
      <c r="C7" s="28" t="s">
        <v>39</v>
      </c>
      <c r="D7" s="28" t="s">
        <v>47</v>
      </c>
      <c r="E7" s="28" t="s">
        <v>54</v>
      </c>
      <c r="F7" s="28" t="s">
        <v>60</v>
      </c>
      <c r="G7" s="28" t="s">
        <v>66</v>
      </c>
      <c r="H7" s="28" t="s">
        <v>70</v>
      </c>
      <c r="I7" s="28" t="s">
        <v>74</v>
      </c>
      <c r="J7" s="28" t="s">
        <v>79</v>
      </c>
      <c r="K7" s="28" t="s">
        <v>83</v>
      </c>
      <c r="L7" s="28" t="s">
        <v>87</v>
      </c>
      <c r="M7" s="28" t="s">
        <v>92</v>
      </c>
      <c r="N7" s="28" t="s">
        <v>101</v>
      </c>
      <c r="O7" s="28" t="s">
        <v>105</v>
      </c>
      <c r="P7" s="28" t="s">
        <v>109</v>
      </c>
      <c r="Q7" s="28" t="s">
        <v>113</v>
      </c>
      <c r="R7" s="28" t="s">
        <v>117</v>
      </c>
      <c r="S7" s="28" t="s">
        <v>121</v>
      </c>
      <c r="T7" s="28" t="s">
        <v>124</v>
      </c>
      <c r="U7" s="28" t="s">
        <v>127</v>
      </c>
      <c r="V7" s="28" t="s">
        <v>131</v>
      </c>
      <c r="W7" s="28" t="s">
        <v>135</v>
      </c>
      <c r="X7" s="28" t="s">
        <v>139</v>
      </c>
      <c r="Y7" s="28" t="s">
        <v>142</v>
      </c>
      <c r="Z7" s="28" t="s">
        <v>147</v>
      </c>
      <c r="AA7" s="28" t="s">
        <v>151</v>
      </c>
      <c r="AB7" s="28" t="s">
        <v>158</v>
      </c>
      <c r="AC7" s="28" t="s">
        <v>162</v>
      </c>
      <c r="AD7" s="28" t="s">
        <v>166</v>
      </c>
      <c r="AE7" s="28" t="s">
        <v>170</v>
      </c>
      <c r="AF7" s="28" t="s">
        <v>174</v>
      </c>
      <c r="AG7" s="28" t="s">
        <v>178</v>
      </c>
      <c r="AH7" s="28" t="s">
        <v>181</v>
      </c>
      <c r="AI7" s="28" t="s">
        <v>185</v>
      </c>
      <c r="AJ7" s="28" t="s">
        <v>188</v>
      </c>
      <c r="AK7" s="28" t="s">
        <v>192</v>
      </c>
      <c r="AL7" s="28" t="s">
        <v>196</v>
      </c>
      <c r="AM7" s="28" t="s">
        <v>201</v>
      </c>
      <c r="AN7" s="28" t="s">
        <v>205</v>
      </c>
      <c r="AO7" s="28" t="s">
        <v>211</v>
      </c>
      <c r="AP7" s="28" t="s">
        <v>215</v>
      </c>
      <c r="AQ7" s="28" t="s">
        <v>219</v>
      </c>
      <c r="AR7" s="28" t="s">
        <v>225</v>
      </c>
      <c r="AS7" s="28" t="s">
        <v>228</v>
      </c>
      <c r="AT7" s="28" t="s">
        <v>232</v>
      </c>
      <c r="AU7" s="28" t="s">
        <v>236</v>
      </c>
      <c r="AV7" s="28" t="s">
        <v>242</v>
      </c>
      <c r="AW7" s="28" t="s">
        <v>246</v>
      </c>
      <c r="AX7" s="28" t="s">
        <v>250</v>
      </c>
      <c r="AY7" s="28" t="s">
        <v>254</v>
      </c>
      <c r="AZ7" s="28" t="s">
        <v>259</v>
      </c>
      <c r="BA7" s="28" t="s">
        <v>265</v>
      </c>
      <c r="BB7" s="28" t="s">
        <v>269</v>
      </c>
      <c r="BC7" s="28" t="s">
        <v>276</v>
      </c>
      <c r="BD7" s="28" t="s">
        <v>280</v>
      </c>
      <c r="BE7" s="28" t="s">
        <v>284</v>
      </c>
      <c r="BF7" s="28" t="s">
        <v>289</v>
      </c>
      <c r="BG7" s="28" t="s">
        <v>292</v>
      </c>
      <c r="BH7" s="28" t="s">
        <v>296</v>
      </c>
      <c r="BI7" s="28" t="s">
        <v>300</v>
      </c>
      <c r="BJ7" s="28" t="s">
        <v>304</v>
      </c>
      <c r="BK7" s="28" t="s">
        <v>307</v>
      </c>
      <c r="BL7" s="28" t="s">
        <v>311</v>
      </c>
      <c r="BM7" s="28" t="s">
        <v>317</v>
      </c>
      <c r="BN7" s="28" t="s">
        <v>321</v>
      </c>
      <c r="BO7" s="28" t="s">
        <v>327</v>
      </c>
      <c r="BP7" s="28" t="s">
        <v>332</v>
      </c>
      <c r="BQ7" s="28" t="s">
        <v>337</v>
      </c>
      <c r="BR7" s="28" t="s">
        <v>342</v>
      </c>
      <c r="BS7" s="28" t="s">
        <v>348</v>
      </c>
      <c r="BT7" s="28" t="s">
        <v>353</v>
      </c>
      <c r="BU7" s="28" t="s">
        <v>357</v>
      </c>
      <c r="BV7" s="28" t="s">
        <v>361</v>
      </c>
      <c r="BW7" s="28" t="s">
        <v>367</v>
      </c>
      <c r="BX7" s="28" t="s">
        <v>375</v>
      </c>
      <c r="BY7" s="28" t="s">
        <v>381</v>
      </c>
      <c r="BZ7" s="28" t="s">
        <v>386</v>
      </c>
      <c r="CA7" s="28" t="s">
        <v>390</v>
      </c>
      <c r="CB7" s="28" t="s">
        <v>397</v>
      </c>
      <c r="CC7" s="28" t="s">
        <v>401</v>
      </c>
      <c r="CD7" s="28" t="s">
        <v>405</v>
      </c>
      <c r="CE7" s="28" t="s">
        <v>409</v>
      </c>
      <c r="CF7" s="28" t="s">
        <v>413</v>
      </c>
      <c r="CG7" s="28" t="s">
        <v>417</v>
      </c>
      <c r="CH7" s="28" t="s">
        <v>421</v>
      </c>
      <c r="CI7" s="28" t="s">
        <v>425</v>
      </c>
      <c r="CJ7" s="28" t="s">
        <v>429</v>
      </c>
      <c r="CK7" s="28" t="s">
        <v>433</v>
      </c>
      <c r="CL7" s="28" t="s">
        <v>436</v>
      </c>
      <c r="CM7" s="28" t="s">
        <v>443</v>
      </c>
      <c r="CN7" s="28" t="s">
        <v>449</v>
      </c>
      <c r="CO7" s="28" t="s">
        <v>455</v>
      </c>
      <c r="CP7" s="28" t="s">
        <v>458</v>
      </c>
      <c r="CQ7" s="28" t="s">
        <v>462</v>
      </c>
      <c r="CR7" s="28" t="s">
        <v>465</v>
      </c>
      <c r="CS7" s="28" t="s">
        <v>468</v>
      </c>
      <c r="CT7" s="28" t="s">
        <v>472</v>
      </c>
      <c r="CU7" s="28" t="s">
        <v>468</v>
      </c>
      <c r="CV7" s="28" t="s">
        <v>478</v>
      </c>
      <c r="CW7" s="28" t="s">
        <v>482</v>
      </c>
      <c r="CX7" s="28" t="s">
        <v>489</v>
      </c>
      <c r="CY7" s="28" t="s">
        <v>492</v>
      </c>
      <c r="CZ7" s="28" t="s">
        <v>496</v>
      </c>
      <c r="DA7" s="28" t="s">
        <v>500</v>
      </c>
      <c r="DB7" s="28" t="s">
        <v>504</v>
      </c>
      <c r="DC7" s="28" t="s">
        <v>507</v>
      </c>
      <c r="DD7" s="28" t="s">
        <v>513</v>
      </c>
      <c r="DE7" s="28" t="s">
        <v>513</v>
      </c>
      <c r="DF7" s="28" t="s">
        <v>522</v>
      </c>
      <c r="DG7" s="28" t="s">
        <v>527</v>
      </c>
      <c r="DH7" s="28" t="s">
        <v>532</v>
      </c>
      <c r="DI7" s="28" t="s">
        <v>537</v>
      </c>
      <c r="DJ7" s="28" t="s">
        <v>540</v>
      </c>
      <c r="DK7" s="28" t="s">
        <v>545</v>
      </c>
      <c r="DL7" s="28" t="s">
        <v>550</v>
      </c>
      <c r="DM7" s="28" t="s">
        <v>553</v>
      </c>
      <c r="DN7" s="28" t="s">
        <v>557</v>
      </c>
      <c r="DO7" s="28" t="s">
        <v>560</v>
      </c>
      <c r="DP7" s="28" t="s">
        <v>127</v>
      </c>
      <c r="DQ7" s="28" t="s">
        <v>568</v>
      </c>
      <c r="DR7" s="28" t="s">
        <v>572</v>
      </c>
      <c r="DS7" s="28" t="s">
        <v>576</v>
      </c>
      <c r="DT7" s="28" t="s">
        <v>581</v>
      </c>
      <c r="DU7" s="28" t="s">
        <v>584</v>
      </c>
      <c r="DV7" s="28" t="s">
        <v>588</v>
      </c>
      <c r="DW7" s="28" t="s">
        <v>592</v>
      </c>
      <c r="DX7" s="28" t="s">
        <v>595</v>
      </c>
      <c r="DY7" s="28" t="s">
        <v>599</v>
      </c>
      <c r="DZ7" s="28" t="s">
        <v>605</v>
      </c>
      <c r="EA7" s="28" t="s">
        <v>610</v>
      </c>
      <c r="EB7" s="28" t="s">
        <v>614</v>
      </c>
      <c r="EC7" s="28" t="s">
        <v>618</v>
      </c>
      <c r="ED7" s="28" t="s">
        <v>623</v>
      </c>
      <c r="EE7" s="28" t="s">
        <v>630</v>
      </c>
      <c r="EF7" s="28" t="s">
        <v>634</v>
      </c>
      <c r="EG7" s="28" t="s">
        <v>642</v>
      </c>
      <c r="EH7" s="28" t="s">
        <v>653</v>
      </c>
      <c r="EI7" s="28" t="s">
        <v>656</v>
      </c>
      <c r="EJ7" s="28" t="s">
        <v>659</v>
      </c>
      <c r="EK7" s="28" t="s">
        <v>667</v>
      </c>
      <c r="EL7" s="28" t="s">
        <v>670</v>
      </c>
      <c r="EM7" s="28" t="s">
        <v>674</v>
      </c>
      <c r="EN7" s="28" t="s">
        <v>678</v>
      </c>
      <c r="EO7" s="28" t="s">
        <v>681</v>
      </c>
      <c r="EP7" s="28" t="s">
        <v>656</v>
      </c>
      <c r="EQ7" s="28" t="s">
        <v>690</v>
      </c>
      <c r="ER7" s="28" t="s">
        <v>694</v>
      </c>
      <c r="ES7" s="28" t="s">
        <v>698</v>
      </c>
      <c r="ET7" s="28" t="s">
        <v>701</v>
      </c>
      <c r="EU7" s="28" t="s">
        <v>714</v>
      </c>
      <c r="EV7" s="28" t="s">
        <v>719</v>
      </c>
      <c r="EW7" s="28" t="s">
        <v>723</v>
      </c>
      <c r="EX7" s="28" t="s">
        <v>729</v>
      </c>
      <c r="EY7" s="28" t="s">
        <v>733</v>
      </c>
      <c r="EZ7" s="28" t="s">
        <v>737</v>
      </c>
      <c r="FA7" s="28" t="s">
        <v>748</v>
      </c>
      <c r="FB7" s="28" t="s">
        <v>754</v>
      </c>
      <c r="FC7" s="28" t="s">
        <v>761</v>
      </c>
      <c r="FD7" s="28" t="s">
        <v>767</v>
      </c>
      <c r="FE7" s="28" t="s">
        <v>776</v>
      </c>
      <c r="FF7" s="28" t="s">
        <v>779</v>
      </c>
      <c r="FG7" s="28" t="s">
        <v>782</v>
      </c>
      <c r="FH7" s="28" t="s">
        <v>786</v>
      </c>
      <c r="FI7" s="28" t="s">
        <v>791</v>
      </c>
      <c r="FJ7" s="28" t="s">
        <v>796</v>
      </c>
      <c r="FK7" s="28" t="s">
        <v>800</v>
      </c>
      <c r="FL7" s="28" t="s">
        <v>805</v>
      </c>
      <c r="FM7" s="28" t="s">
        <v>809</v>
      </c>
      <c r="FN7" s="28" t="s">
        <v>813</v>
      </c>
      <c r="FO7" s="28" t="s">
        <v>816</v>
      </c>
      <c r="FP7" s="28" t="s">
        <v>820</v>
      </c>
      <c r="FQ7" s="28" t="s">
        <v>827</v>
      </c>
      <c r="FR7" s="28" t="s">
        <v>831</v>
      </c>
      <c r="FS7" s="28" t="s">
        <v>834</v>
      </c>
      <c r="FT7" s="28" t="s">
        <v>841</v>
      </c>
      <c r="FU7" s="28" t="s">
        <v>846</v>
      </c>
      <c r="FV7" s="28" t="s">
        <v>852</v>
      </c>
      <c r="FW7" s="28" t="s">
        <v>856</v>
      </c>
      <c r="FX7" s="28" t="s">
        <v>860</v>
      </c>
      <c r="FY7" s="28" t="s">
        <v>863</v>
      </c>
      <c r="FZ7" s="28" t="s">
        <v>866</v>
      </c>
      <c r="GA7" s="28" t="s">
        <v>877</v>
      </c>
      <c r="GB7" s="28" t="s">
        <v>881</v>
      </c>
      <c r="GC7" s="28" t="s">
        <v>887</v>
      </c>
      <c r="GD7" s="28" t="s">
        <v>890</v>
      </c>
      <c r="GE7" s="28" t="s">
        <v>894</v>
      </c>
      <c r="GF7" s="28" t="s">
        <v>902</v>
      </c>
      <c r="GG7" s="28" t="s">
        <v>433</v>
      </c>
      <c r="GH7" s="28" t="s">
        <v>910</v>
      </c>
      <c r="GI7" s="28" t="s">
        <v>914</v>
      </c>
      <c r="GJ7" s="28" t="s">
        <v>918</v>
      </c>
      <c r="GK7" s="28" t="s">
        <v>921</v>
      </c>
      <c r="GL7" s="28" t="s">
        <v>925</v>
      </c>
      <c r="GM7" s="28" t="s">
        <v>929</v>
      </c>
      <c r="GN7" s="28" t="s">
        <v>933</v>
      </c>
      <c r="GO7" s="28" t="s">
        <v>937</v>
      </c>
      <c r="GP7" s="28" t="s">
        <v>944</v>
      </c>
      <c r="GQ7" s="28" t="s">
        <v>948</v>
      </c>
      <c r="GR7" s="28" t="s">
        <v>953</v>
      </c>
      <c r="GS7" s="28" t="s">
        <v>960</v>
      </c>
      <c r="GT7" s="28" t="s">
        <v>918</v>
      </c>
      <c r="GU7" s="28" t="s">
        <v>966</v>
      </c>
      <c r="GV7" s="28" t="s">
        <v>970</v>
      </c>
      <c r="GW7" s="28" t="s">
        <v>974</v>
      </c>
      <c r="GX7" s="28" t="s">
        <v>978</v>
      </c>
      <c r="GY7" s="28" t="s">
        <v>981</v>
      </c>
      <c r="GZ7" s="28" t="s">
        <v>989</v>
      </c>
      <c r="HA7" s="28" t="s">
        <v>993</v>
      </c>
      <c r="HB7" s="28" t="s">
        <v>993</v>
      </c>
      <c r="HC7" s="28" t="s">
        <v>999</v>
      </c>
      <c r="HD7" s="28" t="s">
        <v>1003</v>
      </c>
      <c r="HE7" s="28" t="s">
        <v>1008</v>
      </c>
      <c r="HF7" s="28" t="s">
        <v>1020</v>
      </c>
      <c r="HG7" s="28" t="s">
        <v>1026</v>
      </c>
      <c r="HH7" s="28" t="s">
        <v>1038</v>
      </c>
      <c r="HI7" s="28" t="s">
        <v>1044</v>
      </c>
      <c r="HJ7" s="28" t="s">
        <v>1047</v>
      </c>
      <c r="HK7" s="28" t="s">
        <v>1052</v>
      </c>
      <c r="HL7" s="28" t="s">
        <v>1056</v>
      </c>
      <c r="HM7" s="28" t="s">
        <v>592</v>
      </c>
      <c r="HN7" s="28" t="s">
        <v>1064</v>
      </c>
      <c r="HO7" s="28" t="s">
        <v>1071</v>
      </c>
      <c r="HP7" s="28" t="s">
        <v>1075</v>
      </c>
      <c r="HQ7" s="28" t="s">
        <v>1079</v>
      </c>
      <c r="HR7" s="28" t="s">
        <v>1082</v>
      </c>
      <c r="HS7" s="28" t="s">
        <v>1086</v>
      </c>
      <c r="HT7" s="28" t="s">
        <v>1093</v>
      </c>
      <c r="HU7" s="28" t="s">
        <v>1097</v>
      </c>
      <c r="HV7" s="28" t="s">
        <v>827</v>
      </c>
      <c r="HW7" s="28" t="s">
        <v>809</v>
      </c>
      <c r="HX7" s="28" t="s">
        <v>1108</v>
      </c>
      <c r="HY7" s="28" t="s">
        <v>1111</v>
      </c>
      <c r="HZ7" s="28" t="s">
        <v>121</v>
      </c>
      <c r="IA7" s="28" t="s">
        <v>1117</v>
      </c>
      <c r="IB7" s="28" t="s">
        <v>1121</v>
      </c>
      <c r="IC7" s="28" t="s">
        <v>1126</v>
      </c>
      <c r="ID7" s="28" t="s">
        <v>1129</v>
      </c>
      <c r="IE7" s="28" t="s">
        <v>1133</v>
      </c>
      <c r="IF7" s="28" t="s">
        <v>1137</v>
      </c>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c r="KD7" s="28"/>
      <c r="KE7" s="28"/>
      <c r="KF7" s="28"/>
      <c r="KG7" s="28"/>
      <c r="KH7" s="28"/>
      <c r="KI7" s="28"/>
      <c r="KJ7" s="28"/>
      <c r="KK7" s="28"/>
      <c r="KL7" s="28"/>
      <c r="KM7" s="28"/>
      <c r="KN7" s="29"/>
    </row>
    <row r="8">
      <c r="A8" s="26" t="s">
        <v>10</v>
      </c>
      <c r="B8" s="28" t="s">
        <v>33</v>
      </c>
      <c r="C8" s="28" t="s">
        <v>40</v>
      </c>
      <c r="D8" s="28" t="s">
        <v>48</v>
      </c>
      <c r="E8" s="28" t="s">
        <v>55</v>
      </c>
      <c r="F8" s="28" t="s">
        <v>48</v>
      </c>
      <c r="G8" s="28" t="s">
        <v>55</v>
      </c>
      <c r="H8" s="28" t="s">
        <v>40</v>
      </c>
      <c r="I8" s="28" t="s">
        <v>75</v>
      </c>
      <c r="J8" s="28" t="s">
        <v>80</v>
      </c>
      <c r="K8" s="28" t="s">
        <v>80</v>
      </c>
      <c r="L8" s="28" t="s">
        <v>40</v>
      </c>
      <c r="M8" s="28" t="s">
        <v>40</v>
      </c>
      <c r="N8" s="28" t="s">
        <v>80</v>
      </c>
      <c r="O8" s="28" t="s">
        <v>40</v>
      </c>
      <c r="P8" s="28" t="s">
        <v>75</v>
      </c>
      <c r="Q8" s="28" t="s">
        <v>40</v>
      </c>
      <c r="R8" s="28" t="s">
        <v>40</v>
      </c>
      <c r="S8" s="28" t="s">
        <v>55</v>
      </c>
      <c r="T8" s="28" t="s">
        <v>55</v>
      </c>
      <c r="U8" s="28" t="s">
        <v>80</v>
      </c>
      <c r="V8" s="28" t="s">
        <v>80</v>
      </c>
      <c r="W8" s="28" t="s">
        <v>40</v>
      </c>
      <c r="X8" s="28" t="s">
        <v>40</v>
      </c>
      <c r="Y8" s="28" t="s">
        <v>80</v>
      </c>
      <c r="Z8" s="28" t="s">
        <v>40</v>
      </c>
      <c r="AA8" s="28" t="s">
        <v>40</v>
      </c>
      <c r="AB8" s="28" t="s">
        <v>40</v>
      </c>
      <c r="AC8" s="28" t="s">
        <v>75</v>
      </c>
      <c r="AD8" s="28" t="s">
        <v>167</v>
      </c>
      <c r="AE8" s="28" t="s">
        <v>75</v>
      </c>
      <c r="AF8" s="28" t="s">
        <v>80</v>
      </c>
      <c r="AG8" s="28" t="s">
        <v>167</v>
      </c>
      <c r="AH8" s="28" t="s">
        <v>80</v>
      </c>
      <c r="AI8" s="28" t="s">
        <v>80</v>
      </c>
      <c r="AJ8" s="28" t="s">
        <v>48</v>
      </c>
      <c r="AK8" s="28" t="s">
        <v>33</v>
      </c>
      <c r="AL8" s="28" t="s">
        <v>55</v>
      </c>
      <c r="AM8" s="28" t="s">
        <v>55</v>
      </c>
      <c r="AN8" s="28" t="s">
        <v>55</v>
      </c>
      <c r="AO8" s="28" t="s">
        <v>33</v>
      </c>
      <c r="AP8" s="28" t="s">
        <v>33</v>
      </c>
      <c r="AQ8" s="28" t="s">
        <v>40</v>
      </c>
      <c r="AR8" s="28" t="s">
        <v>167</v>
      </c>
      <c r="AS8" s="28" t="s">
        <v>55</v>
      </c>
      <c r="AT8" s="28" t="s">
        <v>33</v>
      </c>
      <c r="AU8" s="28" t="s">
        <v>48</v>
      </c>
      <c r="AV8" s="28" t="s">
        <v>40</v>
      </c>
      <c r="AW8" s="28" t="s">
        <v>40</v>
      </c>
      <c r="AX8" s="28" t="s">
        <v>80</v>
      </c>
      <c r="AY8" s="28" t="s">
        <v>55</v>
      </c>
      <c r="AZ8" s="28" t="s">
        <v>260</v>
      </c>
      <c r="BA8" s="28" t="s">
        <v>40</v>
      </c>
      <c r="BB8" s="28" t="s">
        <v>55</v>
      </c>
      <c r="BC8" s="28" t="s">
        <v>48</v>
      </c>
      <c r="BD8" s="28" t="s">
        <v>48</v>
      </c>
      <c r="BE8" s="28" t="s">
        <v>55</v>
      </c>
      <c r="BF8" s="28" t="s">
        <v>167</v>
      </c>
      <c r="BG8" s="28" t="s">
        <v>293</v>
      </c>
      <c r="BH8" s="28" t="s">
        <v>48</v>
      </c>
      <c r="BI8" s="28" t="s">
        <v>40</v>
      </c>
      <c r="BJ8" s="28" t="s">
        <v>167</v>
      </c>
      <c r="BK8" s="28" t="s">
        <v>167</v>
      </c>
      <c r="BL8" s="28" t="s">
        <v>48</v>
      </c>
      <c r="BM8" s="28" t="s">
        <v>40</v>
      </c>
      <c r="BN8" s="28" t="s">
        <v>48</v>
      </c>
      <c r="BO8" s="28" t="s">
        <v>48</v>
      </c>
      <c r="BP8" s="28" t="s">
        <v>48</v>
      </c>
      <c r="BQ8" s="28" t="s">
        <v>48</v>
      </c>
      <c r="BR8" s="28" t="s">
        <v>343</v>
      </c>
      <c r="BS8" s="28" t="s">
        <v>349</v>
      </c>
      <c r="BT8" s="28" t="s">
        <v>40</v>
      </c>
      <c r="BU8" s="28" t="s">
        <v>80</v>
      </c>
      <c r="BV8" s="28" t="s">
        <v>40</v>
      </c>
      <c r="BW8" s="28" t="s">
        <v>40</v>
      </c>
      <c r="BX8" s="28" t="s">
        <v>40</v>
      </c>
      <c r="BY8" s="28" t="s">
        <v>40</v>
      </c>
      <c r="BZ8" s="28" t="s">
        <v>40</v>
      </c>
      <c r="CA8" s="28" t="s">
        <v>55</v>
      </c>
      <c r="CB8" s="28" t="s">
        <v>48</v>
      </c>
      <c r="CC8" s="28" t="s">
        <v>75</v>
      </c>
      <c r="CD8" s="28" t="s">
        <v>55</v>
      </c>
      <c r="CE8" s="28" t="s">
        <v>293</v>
      </c>
      <c r="CF8" s="28" t="s">
        <v>40</v>
      </c>
      <c r="CG8" s="28" t="s">
        <v>40</v>
      </c>
      <c r="CH8" s="28" t="s">
        <v>80</v>
      </c>
      <c r="CI8" s="28" t="s">
        <v>55</v>
      </c>
      <c r="CJ8" s="28" t="s">
        <v>33</v>
      </c>
      <c r="CK8" s="28" t="s">
        <v>55</v>
      </c>
      <c r="CL8" s="28" t="s">
        <v>437</v>
      </c>
      <c r="CM8" s="28" t="s">
        <v>40</v>
      </c>
      <c r="CN8" s="28" t="s">
        <v>55</v>
      </c>
      <c r="CO8" s="28" t="s">
        <v>40</v>
      </c>
      <c r="CP8" s="28" t="s">
        <v>167</v>
      </c>
      <c r="CQ8" s="28" t="s">
        <v>167</v>
      </c>
      <c r="CR8" s="28" t="s">
        <v>167</v>
      </c>
      <c r="CS8" s="28" t="s">
        <v>469</v>
      </c>
      <c r="CT8" s="28" t="s">
        <v>167</v>
      </c>
      <c r="CU8" s="28" t="s">
        <v>167</v>
      </c>
      <c r="CV8" s="28" t="s">
        <v>293</v>
      </c>
      <c r="CW8" s="28" t="s">
        <v>483</v>
      </c>
      <c r="CX8" s="28" t="s">
        <v>75</v>
      </c>
      <c r="CY8" s="28" t="s">
        <v>40</v>
      </c>
      <c r="CZ8" s="28" t="s">
        <v>40</v>
      </c>
      <c r="DA8" s="28" t="s">
        <v>40</v>
      </c>
      <c r="DB8" s="28" t="s">
        <v>40</v>
      </c>
      <c r="DC8" s="28" t="s">
        <v>40</v>
      </c>
      <c r="DD8" s="28" t="s">
        <v>40</v>
      </c>
      <c r="DE8" s="28" t="s">
        <v>40</v>
      </c>
      <c r="DF8" s="28" t="s">
        <v>40</v>
      </c>
      <c r="DG8" s="28" t="s">
        <v>40</v>
      </c>
      <c r="DH8" s="28" t="s">
        <v>167</v>
      </c>
      <c r="DI8" s="28" t="s">
        <v>80</v>
      </c>
      <c r="DJ8" s="28" t="s">
        <v>80</v>
      </c>
      <c r="DK8" s="28" t="s">
        <v>80</v>
      </c>
      <c r="DL8" s="28" t="s">
        <v>48</v>
      </c>
      <c r="DM8" s="28" t="s">
        <v>40</v>
      </c>
      <c r="DN8" s="28" t="s">
        <v>40</v>
      </c>
      <c r="DO8" s="28" t="s">
        <v>40</v>
      </c>
      <c r="DP8" s="28" t="s">
        <v>33</v>
      </c>
      <c r="DQ8" s="28" t="s">
        <v>40</v>
      </c>
      <c r="DR8" s="28" t="s">
        <v>55</v>
      </c>
      <c r="DS8" s="28" t="s">
        <v>167</v>
      </c>
      <c r="DT8" s="28" t="s">
        <v>48</v>
      </c>
      <c r="DU8" s="28" t="s">
        <v>33</v>
      </c>
      <c r="DV8" s="28" t="s">
        <v>40</v>
      </c>
      <c r="DW8" s="28" t="s">
        <v>167</v>
      </c>
      <c r="DX8" s="28" t="s">
        <v>33</v>
      </c>
      <c r="DY8" s="28" t="s">
        <v>55</v>
      </c>
      <c r="DZ8" s="28" t="s">
        <v>606</v>
      </c>
      <c r="EA8" s="28" t="s">
        <v>40</v>
      </c>
      <c r="EB8" s="28" t="s">
        <v>40</v>
      </c>
      <c r="EC8" s="28" t="s">
        <v>40</v>
      </c>
      <c r="ED8" s="28" t="s">
        <v>293</v>
      </c>
      <c r="EE8" s="28" t="s">
        <v>33</v>
      </c>
      <c r="EF8" s="28" t="s">
        <v>40</v>
      </c>
      <c r="EG8" s="28" t="s">
        <v>40</v>
      </c>
      <c r="EH8" s="28" t="s">
        <v>40</v>
      </c>
      <c r="EI8" s="28" t="s">
        <v>33</v>
      </c>
      <c r="EJ8" s="28" t="s">
        <v>40</v>
      </c>
      <c r="EK8" s="28" t="s">
        <v>40</v>
      </c>
      <c r="EL8" s="28" t="s">
        <v>293</v>
      </c>
      <c r="EM8" s="28" t="s">
        <v>48</v>
      </c>
      <c r="EN8" s="28" t="s">
        <v>40</v>
      </c>
      <c r="EO8" s="28" t="s">
        <v>40</v>
      </c>
      <c r="EP8" s="28" t="s">
        <v>687</v>
      </c>
      <c r="EQ8" s="28" t="s">
        <v>40</v>
      </c>
      <c r="ER8" s="28" t="s">
        <v>40</v>
      </c>
      <c r="ES8" s="28" t="s">
        <v>167</v>
      </c>
      <c r="ET8" s="28" t="s">
        <v>40</v>
      </c>
      <c r="EU8" s="28" t="s">
        <v>40</v>
      </c>
      <c r="EV8" s="28" t="s">
        <v>33</v>
      </c>
      <c r="EW8" s="28" t="s">
        <v>80</v>
      </c>
      <c r="EX8" s="28" t="s">
        <v>730</v>
      </c>
      <c r="EY8" s="28" t="s">
        <v>48</v>
      </c>
      <c r="EZ8" s="28" t="s">
        <v>738</v>
      </c>
      <c r="FA8" s="28" t="s">
        <v>80</v>
      </c>
      <c r="FB8" s="28" t="s">
        <v>33</v>
      </c>
      <c r="FC8" s="28" t="s">
        <v>40</v>
      </c>
      <c r="FD8" s="28" t="s">
        <v>40</v>
      </c>
      <c r="FE8" s="28" t="s">
        <v>40</v>
      </c>
      <c r="FF8" s="28" t="s">
        <v>40</v>
      </c>
      <c r="FG8" s="28" t="s">
        <v>40</v>
      </c>
      <c r="FH8" s="28" t="s">
        <v>80</v>
      </c>
      <c r="FI8" s="28" t="s">
        <v>55</v>
      </c>
      <c r="FJ8" s="28" t="s">
        <v>55</v>
      </c>
      <c r="FK8" s="28" t="s">
        <v>80</v>
      </c>
      <c r="FL8" s="28" t="s">
        <v>806</v>
      </c>
      <c r="FM8" s="28" t="s">
        <v>810</v>
      </c>
      <c r="FN8" s="28" t="s">
        <v>40</v>
      </c>
      <c r="FO8" s="28" t="s">
        <v>817</v>
      </c>
      <c r="FP8" s="28" t="s">
        <v>48</v>
      </c>
      <c r="FQ8" s="28" t="s">
        <v>33</v>
      </c>
      <c r="FR8" s="28" t="s">
        <v>40</v>
      </c>
      <c r="FS8" s="28" t="s">
        <v>40</v>
      </c>
      <c r="FT8" s="28" t="s">
        <v>842</v>
      </c>
      <c r="FU8" s="28" t="s">
        <v>40</v>
      </c>
      <c r="FV8" s="28" t="s">
        <v>40</v>
      </c>
      <c r="FW8" s="28" t="s">
        <v>40</v>
      </c>
      <c r="FX8" s="28" t="s">
        <v>40</v>
      </c>
      <c r="FY8" s="28" t="s">
        <v>40</v>
      </c>
      <c r="FZ8" s="28" t="s">
        <v>48</v>
      </c>
      <c r="GA8" s="28" t="s">
        <v>40</v>
      </c>
      <c r="GB8" s="28" t="s">
        <v>75</v>
      </c>
      <c r="GC8" s="28" t="s">
        <v>40</v>
      </c>
      <c r="GD8" s="28" t="s">
        <v>48</v>
      </c>
      <c r="GE8" s="28" t="s">
        <v>895</v>
      </c>
      <c r="GF8" s="28" t="s">
        <v>903</v>
      </c>
      <c r="GG8" s="28" t="s">
        <v>80</v>
      </c>
      <c r="GH8" s="28" t="s">
        <v>33</v>
      </c>
      <c r="GI8" s="28" t="s">
        <v>40</v>
      </c>
      <c r="GJ8" s="28" t="s">
        <v>55</v>
      </c>
      <c r="GK8" s="28" t="s">
        <v>40</v>
      </c>
      <c r="GL8" s="28" t="s">
        <v>80</v>
      </c>
      <c r="GM8" s="28" t="s">
        <v>80</v>
      </c>
      <c r="GN8" s="28" t="s">
        <v>55</v>
      </c>
      <c r="GO8" s="28" t="s">
        <v>40</v>
      </c>
      <c r="GP8" s="28" t="s">
        <v>33</v>
      </c>
      <c r="GQ8" s="28" t="s">
        <v>949</v>
      </c>
      <c r="GR8" s="28" t="s">
        <v>954</v>
      </c>
      <c r="GS8" s="28" t="s">
        <v>40</v>
      </c>
      <c r="GT8" s="28" t="s">
        <v>40</v>
      </c>
      <c r="GU8" s="28" t="s">
        <v>40</v>
      </c>
      <c r="GV8" s="28" t="s">
        <v>80</v>
      </c>
      <c r="GW8" s="28" t="s">
        <v>40</v>
      </c>
      <c r="GX8" s="28" t="s">
        <v>40</v>
      </c>
      <c r="GY8" s="28" t="s">
        <v>48</v>
      </c>
      <c r="GZ8" s="28" t="s">
        <v>80</v>
      </c>
      <c r="HA8" s="28" t="s">
        <v>80</v>
      </c>
      <c r="HB8" s="28" t="s">
        <v>80</v>
      </c>
      <c r="HC8" s="28" t="s">
        <v>55</v>
      </c>
      <c r="HD8" s="28" t="s">
        <v>80</v>
      </c>
      <c r="HE8" s="28" t="s">
        <v>1009</v>
      </c>
      <c r="HF8" s="28" t="s">
        <v>55</v>
      </c>
      <c r="HG8" s="28" t="s">
        <v>40</v>
      </c>
      <c r="HH8" s="28" t="s">
        <v>40</v>
      </c>
      <c r="HI8" s="28" t="s">
        <v>40</v>
      </c>
      <c r="HJ8" s="28" t="s">
        <v>40</v>
      </c>
      <c r="HK8" s="28" t="s">
        <v>40</v>
      </c>
      <c r="HL8" s="28" t="s">
        <v>40</v>
      </c>
      <c r="HM8" s="28" t="s">
        <v>167</v>
      </c>
      <c r="HN8" s="28" t="s">
        <v>80</v>
      </c>
      <c r="HO8" s="28" t="s">
        <v>80</v>
      </c>
      <c r="HP8" s="28" t="s">
        <v>1076</v>
      </c>
      <c r="HQ8" s="28" t="s">
        <v>40</v>
      </c>
      <c r="HR8" s="28" t="s">
        <v>80</v>
      </c>
      <c r="HS8" s="28" t="s">
        <v>40</v>
      </c>
      <c r="HT8" s="28" t="s">
        <v>55</v>
      </c>
      <c r="HU8" s="28" t="s">
        <v>55</v>
      </c>
      <c r="HV8" s="28" t="s">
        <v>80</v>
      </c>
      <c r="HW8" s="28" t="s">
        <v>167</v>
      </c>
      <c r="HX8" s="28" t="s">
        <v>40</v>
      </c>
      <c r="HY8" s="28" t="s">
        <v>55</v>
      </c>
      <c r="HZ8" s="28" t="s">
        <v>167</v>
      </c>
      <c r="IA8" s="28" t="s">
        <v>167</v>
      </c>
      <c r="IB8" s="28" t="s">
        <v>167</v>
      </c>
      <c r="IC8" s="28" t="s">
        <v>167</v>
      </c>
      <c r="ID8" s="28" t="s">
        <v>55</v>
      </c>
      <c r="IE8" s="28" t="s">
        <v>48</v>
      </c>
      <c r="IF8" s="28" t="s">
        <v>40</v>
      </c>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c r="KL8" s="28"/>
      <c r="KM8" s="28"/>
      <c r="KN8" s="29"/>
    </row>
    <row r="9">
      <c r="A9" s="26" t="s">
        <v>11</v>
      </c>
      <c r="B9" s="28">
        <v>4.0</v>
      </c>
      <c r="C9" s="28">
        <v>1.0</v>
      </c>
      <c r="D9" s="28">
        <v>5.0</v>
      </c>
      <c r="E9" s="28">
        <v>4.0</v>
      </c>
      <c r="F9" s="28">
        <v>4.0</v>
      </c>
      <c r="G9" s="28">
        <v>3.0</v>
      </c>
      <c r="H9" s="28">
        <v>3.0</v>
      </c>
      <c r="I9" s="28">
        <v>2.0</v>
      </c>
      <c r="J9" s="28">
        <v>2.0</v>
      </c>
      <c r="K9" s="28">
        <v>3.0</v>
      </c>
      <c r="L9" s="28">
        <v>-1.0</v>
      </c>
      <c r="M9" s="28">
        <v>-1.0</v>
      </c>
      <c r="N9" s="28">
        <v>2.0</v>
      </c>
      <c r="O9" s="28">
        <v>3.0</v>
      </c>
      <c r="P9" s="28">
        <v>2.0</v>
      </c>
      <c r="Q9" s="28">
        <v>1.0</v>
      </c>
      <c r="R9" s="28">
        <v>3.0</v>
      </c>
      <c r="S9" s="28">
        <v>-1.0</v>
      </c>
      <c r="T9" s="28">
        <v>-3.0</v>
      </c>
      <c r="U9" s="28">
        <v>4.0</v>
      </c>
      <c r="V9" s="28">
        <v>4.0</v>
      </c>
      <c r="W9" s="28">
        <v>2.0</v>
      </c>
      <c r="X9" s="28">
        <v>2.0</v>
      </c>
      <c r="Y9" s="28">
        <v>2.0</v>
      </c>
      <c r="Z9" s="28">
        <v>3.0</v>
      </c>
      <c r="AA9" s="28">
        <v>2.0</v>
      </c>
      <c r="AB9" s="28">
        <v>3.0</v>
      </c>
      <c r="AC9" s="28">
        <v>5.0</v>
      </c>
      <c r="AD9" s="28">
        <v>3.0</v>
      </c>
      <c r="AE9" s="28">
        <v>4.0</v>
      </c>
      <c r="AF9" s="28">
        <v>2.0</v>
      </c>
      <c r="AG9" s="28">
        <v>2.0</v>
      </c>
      <c r="AH9" s="28">
        <v>-3.0</v>
      </c>
      <c r="AI9" s="28">
        <v>-3.0</v>
      </c>
      <c r="AJ9" s="28">
        <v>5.0</v>
      </c>
      <c r="AK9" s="28">
        <v>3.0</v>
      </c>
      <c r="AL9" s="28">
        <v>2.0</v>
      </c>
      <c r="AM9" s="28">
        <v>-2.0</v>
      </c>
      <c r="AN9" s="28">
        <v>2.0</v>
      </c>
      <c r="AO9" s="28">
        <v>3.0</v>
      </c>
      <c r="AP9" s="28">
        <v>3.0</v>
      </c>
      <c r="AQ9" s="28">
        <v>1.0</v>
      </c>
      <c r="AR9" s="28">
        <v>5.0</v>
      </c>
      <c r="AS9" s="28">
        <v>-2.0</v>
      </c>
      <c r="AT9" s="28">
        <v>2.0</v>
      </c>
      <c r="AU9" s="28">
        <v>6.0</v>
      </c>
      <c r="AV9" s="28">
        <v>2.0</v>
      </c>
      <c r="AW9" s="28">
        <v>4.0</v>
      </c>
      <c r="AX9" s="28">
        <v>5.0</v>
      </c>
      <c r="AY9" s="28">
        <v>2.0</v>
      </c>
      <c r="AZ9" s="28">
        <v>5.0</v>
      </c>
      <c r="BA9" s="28">
        <v>2.0</v>
      </c>
      <c r="BB9" s="28">
        <v>2.0</v>
      </c>
      <c r="BC9" s="28">
        <v>4.0</v>
      </c>
      <c r="BD9" s="28">
        <v>5.0</v>
      </c>
      <c r="BE9" s="28">
        <v>-2.0</v>
      </c>
      <c r="BF9" s="28">
        <v>6.0</v>
      </c>
      <c r="BG9" s="28">
        <v>4.0</v>
      </c>
      <c r="BH9" s="28">
        <v>2.0</v>
      </c>
      <c r="BI9" s="28">
        <v>4.0</v>
      </c>
      <c r="BJ9" s="28">
        <v>5.0</v>
      </c>
      <c r="BK9" s="28">
        <v>-1.0</v>
      </c>
      <c r="BL9" s="28">
        <v>4.0</v>
      </c>
      <c r="BM9" s="28">
        <v>1.0</v>
      </c>
      <c r="BN9" s="28">
        <v>5.0</v>
      </c>
      <c r="BO9" s="28">
        <v>6.0</v>
      </c>
      <c r="BP9" s="28">
        <v>4.0</v>
      </c>
      <c r="BQ9" s="28">
        <v>4.0</v>
      </c>
      <c r="BR9" s="28">
        <v>5.0</v>
      </c>
      <c r="BS9" s="28">
        <v>5.0</v>
      </c>
      <c r="BT9" s="28">
        <v>0.0</v>
      </c>
      <c r="BU9" s="28">
        <v>3.0</v>
      </c>
      <c r="BV9" s="28">
        <v>2.0</v>
      </c>
      <c r="BW9" s="28">
        <v>0.0</v>
      </c>
      <c r="BX9" s="28">
        <v>-1.0</v>
      </c>
      <c r="BY9" s="28">
        <v>2.0</v>
      </c>
      <c r="BZ9" s="28">
        <v>1.0</v>
      </c>
      <c r="CA9" s="28">
        <v>5.0</v>
      </c>
      <c r="CB9" s="28">
        <v>3.0</v>
      </c>
      <c r="CC9" s="28">
        <v>5.0</v>
      </c>
      <c r="CD9" s="28">
        <v>4.0</v>
      </c>
      <c r="CE9" s="28">
        <v>4.0</v>
      </c>
      <c r="CF9" s="28">
        <v>5.0</v>
      </c>
      <c r="CG9" s="28">
        <v>0.0</v>
      </c>
      <c r="CH9" s="28">
        <v>0.0</v>
      </c>
      <c r="CI9" s="28">
        <v>-2.0</v>
      </c>
      <c r="CJ9" s="28">
        <v>2.0</v>
      </c>
      <c r="CK9" s="28">
        <v>3.0</v>
      </c>
      <c r="CL9" s="28">
        <v>2.0</v>
      </c>
      <c r="CM9" s="28">
        <v>3.0</v>
      </c>
      <c r="CN9" s="28">
        <v>-2.0</v>
      </c>
      <c r="CO9" s="28">
        <v>2.0</v>
      </c>
      <c r="CP9" s="28">
        <v>5.0</v>
      </c>
      <c r="CQ9" s="28">
        <v>6.0</v>
      </c>
      <c r="CR9" s="28">
        <v>5.0</v>
      </c>
      <c r="CS9" s="28">
        <v>4.0</v>
      </c>
      <c r="CT9" s="28">
        <v>4.0</v>
      </c>
      <c r="CU9" s="28">
        <v>4.0</v>
      </c>
      <c r="CV9" s="28">
        <v>6.0</v>
      </c>
      <c r="CW9" s="28">
        <v>2.0</v>
      </c>
      <c r="CX9" s="28">
        <v>2.0</v>
      </c>
      <c r="CY9" s="28">
        <v>1.0</v>
      </c>
      <c r="CZ9" s="28">
        <v>2.0</v>
      </c>
      <c r="DA9" s="28">
        <v>0.0</v>
      </c>
      <c r="DB9" s="28">
        <v>2.0</v>
      </c>
      <c r="DC9" s="28">
        <v>0.0</v>
      </c>
      <c r="DD9" s="28">
        <v>4.0</v>
      </c>
      <c r="DE9" s="28">
        <v>4.0</v>
      </c>
      <c r="DF9" s="28">
        <v>5.0</v>
      </c>
      <c r="DG9" s="28">
        <v>4.0</v>
      </c>
      <c r="DH9" s="28">
        <v>4.0</v>
      </c>
      <c r="DI9" s="28">
        <v>4.0</v>
      </c>
      <c r="DJ9" s="28">
        <v>1.0</v>
      </c>
      <c r="DK9" s="28">
        <v>3.0</v>
      </c>
      <c r="DL9" s="28">
        <v>4.0</v>
      </c>
      <c r="DM9" s="28">
        <v>4.0</v>
      </c>
      <c r="DN9" s="28">
        <v>1.0</v>
      </c>
      <c r="DO9" s="28">
        <v>4.0</v>
      </c>
      <c r="DP9" s="28">
        <v>2.0</v>
      </c>
      <c r="DQ9" s="28">
        <v>3.0</v>
      </c>
      <c r="DR9" s="28">
        <v>1.0</v>
      </c>
      <c r="DS9" s="28">
        <v>2.0</v>
      </c>
      <c r="DT9" s="28">
        <v>3.0</v>
      </c>
      <c r="DU9" s="28">
        <v>4.0</v>
      </c>
      <c r="DV9" s="28">
        <v>3.0</v>
      </c>
      <c r="DW9" s="28">
        <v>3.0</v>
      </c>
      <c r="DX9" s="28">
        <v>5.0</v>
      </c>
      <c r="DY9" s="28">
        <v>2.0</v>
      </c>
      <c r="DZ9" s="28">
        <v>-4.0</v>
      </c>
      <c r="EA9" s="28">
        <v>3.0</v>
      </c>
      <c r="EB9" s="28">
        <v>-2.0</v>
      </c>
      <c r="EC9" s="28">
        <v>-2.0</v>
      </c>
      <c r="ED9" s="28">
        <v>6.0</v>
      </c>
      <c r="EE9" s="28">
        <v>1.0</v>
      </c>
      <c r="EF9" s="28">
        <v>1.0</v>
      </c>
      <c r="EG9" s="28">
        <v>3.0</v>
      </c>
      <c r="EH9" s="28">
        <v>4.0</v>
      </c>
      <c r="EI9" s="28">
        <v>1.0</v>
      </c>
      <c r="EJ9" s="28">
        <v>-1.0</v>
      </c>
      <c r="EK9" s="28">
        <v>5.0</v>
      </c>
      <c r="EL9" s="28">
        <v>3.0</v>
      </c>
      <c r="EM9" s="28">
        <v>4.0</v>
      </c>
      <c r="EN9" s="28">
        <v>1.0</v>
      </c>
      <c r="EO9" s="28">
        <v>2.0</v>
      </c>
      <c r="EP9" s="28">
        <v>1.0</v>
      </c>
      <c r="EQ9" s="28">
        <v>2.0</v>
      </c>
      <c r="ER9" s="28">
        <v>4.0</v>
      </c>
      <c r="ES9" s="28">
        <v>3.0</v>
      </c>
      <c r="ET9" s="28">
        <v>4.0</v>
      </c>
      <c r="EU9" s="28">
        <v>3.0</v>
      </c>
      <c r="EV9" s="28">
        <v>2.0</v>
      </c>
      <c r="EW9" s="28">
        <v>4.0</v>
      </c>
      <c r="EX9" s="28">
        <v>3.0</v>
      </c>
      <c r="EY9" s="28">
        <v>3.0</v>
      </c>
      <c r="EZ9" s="28">
        <v>5.0</v>
      </c>
      <c r="FA9" s="28" t="s">
        <v>749</v>
      </c>
      <c r="FB9" s="28">
        <v>3.0</v>
      </c>
      <c r="FC9" s="28" t="s">
        <v>762</v>
      </c>
      <c r="FD9" s="28" t="s">
        <v>768</v>
      </c>
      <c r="FE9" s="28">
        <v>2.0</v>
      </c>
      <c r="FF9" s="28">
        <v>2.0</v>
      </c>
      <c r="FG9" s="28">
        <v>4.0</v>
      </c>
      <c r="FH9" s="28">
        <v>3.0</v>
      </c>
      <c r="FI9" s="28">
        <v>4.0</v>
      </c>
      <c r="FJ9" s="28">
        <v>4.0</v>
      </c>
      <c r="FK9" s="28">
        <v>3.0</v>
      </c>
      <c r="FL9" s="28">
        <v>4.0</v>
      </c>
      <c r="FM9" s="28">
        <v>3.0</v>
      </c>
      <c r="FN9" s="28">
        <v>0.0</v>
      </c>
      <c r="FO9" s="28">
        <v>3.0</v>
      </c>
      <c r="FP9" s="28">
        <v>3.0</v>
      </c>
      <c r="FQ9" s="28">
        <v>-2.0</v>
      </c>
      <c r="FR9" s="28">
        <v>1.0</v>
      </c>
      <c r="FS9" s="28">
        <v>1.0</v>
      </c>
      <c r="FT9" s="28">
        <v>5.0</v>
      </c>
      <c r="FU9" s="28">
        <v>1.0</v>
      </c>
      <c r="FV9" s="28">
        <v>-3.0</v>
      </c>
      <c r="FW9" s="28">
        <v>1.0</v>
      </c>
      <c r="FX9" s="28">
        <v>-2.0</v>
      </c>
      <c r="FY9" s="28">
        <v>-3.0</v>
      </c>
      <c r="FZ9" s="28">
        <v>5.0</v>
      </c>
      <c r="GA9" s="28">
        <v>3.0</v>
      </c>
      <c r="GB9" s="28">
        <v>5.0</v>
      </c>
      <c r="GC9" s="28">
        <v>4.0</v>
      </c>
      <c r="GD9" s="28">
        <v>5.0</v>
      </c>
      <c r="GE9" s="28">
        <v>3.0</v>
      </c>
      <c r="GF9" s="28">
        <v>1.0</v>
      </c>
      <c r="GG9" s="28">
        <v>2.0</v>
      </c>
      <c r="GH9" s="28">
        <v>1.0</v>
      </c>
      <c r="GI9" s="28">
        <v>2.0</v>
      </c>
      <c r="GJ9" s="28">
        <v>-1.0</v>
      </c>
      <c r="GK9" s="28">
        <v>2.0</v>
      </c>
      <c r="GL9" s="28">
        <v>-4.0</v>
      </c>
      <c r="GM9" s="28">
        <v>2.0</v>
      </c>
      <c r="GN9" s="28">
        <v>-4.0</v>
      </c>
      <c r="GO9" s="28" t="s">
        <v>763</v>
      </c>
      <c r="GP9" s="28" t="s">
        <v>763</v>
      </c>
      <c r="GQ9" s="28" t="s">
        <v>768</v>
      </c>
      <c r="GR9" s="28" t="s">
        <v>938</v>
      </c>
      <c r="GS9" s="28" t="s">
        <v>769</v>
      </c>
      <c r="GT9" s="28">
        <v>3.0</v>
      </c>
      <c r="GU9" s="28">
        <v>-3.0</v>
      </c>
      <c r="GV9" s="28">
        <v>3.0</v>
      </c>
      <c r="GW9" s="28">
        <v>-3.0</v>
      </c>
      <c r="GX9" s="28">
        <v>1.0</v>
      </c>
      <c r="GY9" s="28">
        <v>4.0</v>
      </c>
      <c r="GZ9" s="28">
        <v>-4.0</v>
      </c>
      <c r="HA9" s="28">
        <v>2.0</v>
      </c>
      <c r="HB9" s="28">
        <v>-1.0</v>
      </c>
      <c r="HC9" s="28">
        <v>-2.0</v>
      </c>
      <c r="HD9" s="28">
        <v>-2.0</v>
      </c>
      <c r="HE9" s="28">
        <v>7.0</v>
      </c>
      <c r="HF9" s="28">
        <v>4.0</v>
      </c>
      <c r="HG9" s="28">
        <v>3.0</v>
      </c>
      <c r="HH9" s="28" t="s">
        <v>938</v>
      </c>
      <c r="HI9" s="28" t="s">
        <v>769</v>
      </c>
      <c r="HJ9" s="28" t="s">
        <v>762</v>
      </c>
      <c r="HK9" s="28" t="s">
        <v>763</v>
      </c>
      <c r="HL9" s="28">
        <v>3.0</v>
      </c>
      <c r="HM9" s="28">
        <v>3.0</v>
      </c>
      <c r="HN9" s="28">
        <v>4.0</v>
      </c>
      <c r="HO9" s="28">
        <v>3.0</v>
      </c>
      <c r="HP9" s="28">
        <v>-3.0</v>
      </c>
      <c r="HQ9" s="28">
        <v>1.0</v>
      </c>
      <c r="HR9" s="28">
        <v>4.0</v>
      </c>
      <c r="HS9" s="28">
        <v>0.0</v>
      </c>
      <c r="HT9" s="28">
        <v>1.0</v>
      </c>
      <c r="HU9" s="28">
        <v>1.0</v>
      </c>
      <c r="HV9" s="28">
        <v>1.0</v>
      </c>
      <c r="HW9" s="28">
        <v>3.0</v>
      </c>
      <c r="HX9" s="28">
        <v>3.0</v>
      </c>
      <c r="HY9" s="28">
        <v>-3.0</v>
      </c>
      <c r="HZ9" s="28">
        <v>2.0</v>
      </c>
      <c r="IA9" s="28">
        <v>3.0</v>
      </c>
      <c r="IB9" s="28">
        <v>3.0</v>
      </c>
      <c r="IC9" s="28">
        <v>2.0</v>
      </c>
      <c r="ID9" s="28">
        <v>-4.0</v>
      </c>
      <c r="IE9" s="28">
        <v>4.0</v>
      </c>
      <c r="IF9" s="28">
        <v>2.0</v>
      </c>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c r="JX9" s="28"/>
      <c r="JY9" s="28"/>
      <c r="JZ9" s="28"/>
      <c r="KA9" s="28"/>
      <c r="KB9" s="28"/>
      <c r="KC9" s="28"/>
      <c r="KD9" s="28"/>
      <c r="KE9" s="28"/>
      <c r="KF9" s="28"/>
      <c r="KG9" s="28"/>
      <c r="KH9" s="28"/>
      <c r="KI9" s="28"/>
      <c r="KJ9" s="28"/>
      <c r="KK9" s="28"/>
      <c r="KL9" s="28"/>
      <c r="KM9" s="28"/>
      <c r="KN9" s="29"/>
    </row>
    <row r="10">
      <c r="A10" s="26" t="s">
        <v>12</v>
      </c>
      <c r="B10" s="28">
        <v>-1.0</v>
      </c>
      <c r="C10" s="28">
        <v>-1.0</v>
      </c>
      <c r="D10" s="28">
        <v>2.0</v>
      </c>
      <c r="E10" s="28">
        <v>1.0</v>
      </c>
      <c r="F10" s="28">
        <v>2.0</v>
      </c>
      <c r="G10" s="28">
        <v>1.0</v>
      </c>
      <c r="H10" s="28">
        <v>-1.0</v>
      </c>
      <c r="I10" s="28">
        <v>2.0</v>
      </c>
      <c r="J10" s="28">
        <v>2.0</v>
      </c>
      <c r="K10" s="28">
        <v>1.0</v>
      </c>
      <c r="L10" s="28">
        <v>1.0</v>
      </c>
      <c r="M10" s="28">
        <v>2.0</v>
      </c>
      <c r="N10" s="28">
        <v>4.0</v>
      </c>
      <c r="O10" s="28">
        <v>0.0</v>
      </c>
      <c r="P10" s="28">
        <v>0.0</v>
      </c>
      <c r="Q10" s="28">
        <v>0.0</v>
      </c>
      <c r="R10" s="28">
        <v>1.0</v>
      </c>
      <c r="S10" s="28">
        <v>2.0</v>
      </c>
      <c r="T10" s="28">
        <v>2.0</v>
      </c>
      <c r="U10" s="28">
        <v>1.0</v>
      </c>
      <c r="V10" s="28">
        <v>1.0</v>
      </c>
      <c r="W10" s="28">
        <v>1.0</v>
      </c>
      <c r="X10" s="28">
        <v>1.0</v>
      </c>
      <c r="Y10" s="28">
        <v>-1.0</v>
      </c>
      <c r="Z10" s="28">
        <v>0.0</v>
      </c>
      <c r="AA10" s="28">
        <v>3.0</v>
      </c>
      <c r="AB10" s="28">
        <v>0.0</v>
      </c>
      <c r="AC10" s="28">
        <v>1.0</v>
      </c>
      <c r="AD10" s="28">
        <v>0.0</v>
      </c>
      <c r="AE10" s="28">
        <v>1.0</v>
      </c>
      <c r="AF10" s="28">
        <v>2.0</v>
      </c>
      <c r="AG10" s="28">
        <v>1.0</v>
      </c>
      <c r="AH10" s="28">
        <v>1.0</v>
      </c>
      <c r="AI10" s="28">
        <v>1.0</v>
      </c>
      <c r="AJ10" s="28">
        <v>4.0</v>
      </c>
      <c r="AK10" s="28">
        <v>-1.0</v>
      </c>
      <c r="AL10" s="28">
        <v>3.0</v>
      </c>
      <c r="AM10" s="28">
        <v>1.0</v>
      </c>
      <c r="AN10" s="28">
        <v>3.0</v>
      </c>
      <c r="AO10" s="28">
        <v>0.0</v>
      </c>
      <c r="AP10" s="28">
        <v>1.0</v>
      </c>
      <c r="AQ10" s="28">
        <v>-1.0</v>
      </c>
      <c r="AR10" s="28">
        <v>0.0</v>
      </c>
      <c r="AS10" s="28">
        <v>3.0</v>
      </c>
      <c r="AT10" s="28">
        <v>1.0</v>
      </c>
      <c r="AU10" s="28">
        <v>2.0</v>
      </c>
      <c r="AV10" s="28">
        <v>0.0</v>
      </c>
      <c r="AW10" s="28">
        <v>1.0</v>
      </c>
      <c r="AX10" s="28">
        <v>4.0</v>
      </c>
      <c r="AY10" s="28">
        <v>2.0</v>
      </c>
      <c r="AZ10" s="28">
        <v>4.0</v>
      </c>
      <c r="BA10" s="28">
        <v>3.0</v>
      </c>
      <c r="BB10" s="28">
        <v>4.0</v>
      </c>
      <c r="BC10" s="28">
        <v>4.0</v>
      </c>
      <c r="BD10" s="28">
        <v>2.0</v>
      </c>
      <c r="BE10" s="28">
        <v>3.0</v>
      </c>
      <c r="BF10" s="28">
        <v>-1.0</v>
      </c>
      <c r="BG10" s="28">
        <v>3.0</v>
      </c>
      <c r="BH10" s="28">
        <v>4.0</v>
      </c>
      <c r="BI10" s="28">
        <v>-1.0</v>
      </c>
      <c r="BJ10" s="28">
        <v>1.0</v>
      </c>
      <c r="BK10" s="28">
        <v>3.0</v>
      </c>
      <c r="BL10" s="28">
        <v>4.0</v>
      </c>
      <c r="BM10" s="28">
        <v>2.0</v>
      </c>
      <c r="BN10" s="28">
        <v>3.0</v>
      </c>
      <c r="BO10" s="28">
        <v>5.0</v>
      </c>
      <c r="BP10" s="28">
        <v>3.0</v>
      </c>
      <c r="BQ10" s="28">
        <v>3.0</v>
      </c>
      <c r="BR10" s="28">
        <v>6.0</v>
      </c>
      <c r="BS10" s="28">
        <v>3.0</v>
      </c>
      <c r="BT10" s="28">
        <v>3.0</v>
      </c>
      <c r="BU10" s="28">
        <v>3.0</v>
      </c>
      <c r="BV10" s="28">
        <v>3.0</v>
      </c>
      <c r="BW10" s="28">
        <v>1.0</v>
      </c>
      <c r="BX10" s="28">
        <v>2.0</v>
      </c>
      <c r="BY10" s="28">
        <v>0.0</v>
      </c>
      <c r="BZ10" s="28">
        <v>-1.0</v>
      </c>
      <c r="CA10" s="28">
        <v>2.0</v>
      </c>
      <c r="CB10" s="28">
        <v>5.0</v>
      </c>
      <c r="CC10" s="28">
        <v>0.0</v>
      </c>
      <c r="CD10" s="28">
        <v>3.0</v>
      </c>
      <c r="CE10" s="28">
        <v>2.0</v>
      </c>
      <c r="CF10" s="28">
        <v>0.0</v>
      </c>
      <c r="CG10" s="28">
        <v>3.0</v>
      </c>
      <c r="CH10" s="28">
        <v>2.0</v>
      </c>
      <c r="CI10" s="28">
        <v>3.0</v>
      </c>
      <c r="CJ10" s="28">
        <v>2.0</v>
      </c>
      <c r="CK10" s="28">
        <v>1.0</v>
      </c>
      <c r="CL10" s="28">
        <v>-4.0</v>
      </c>
      <c r="CM10" s="28">
        <v>1.0</v>
      </c>
      <c r="CN10" s="28">
        <v>3.0</v>
      </c>
      <c r="CO10" s="28">
        <v>1.0</v>
      </c>
      <c r="CP10" s="28">
        <v>4.0</v>
      </c>
      <c r="CQ10" s="28">
        <v>0.0</v>
      </c>
      <c r="CR10" s="28">
        <v>1.0</v>
      </c>
      <c r="CS10" s="28">
        <v>1.0</v>
      </c>
      <c r="CT10" s="28">
        <v>0.0</v>
      </c>
      <c r="CU10" s="28">
        <v>2.0</v>
      </c>
      <c r="CV10" s="28">
        <v>2.0</v>
      </c>
      <c r="CW10" s="28">
        <v>-2.0</v>
      </c>
      <c r="CX10" s="28">
        <v>1.0</v>
      </c>
      <c r="CY10" s="28">
        <v>1.0</v>
      </c>
      <c r="CZ10" s="28">
        <v>1.0</v>
      </c>
      <c r="DA10" s="28">
        <v>1.0</v>
      </c>
      <c r="DB10" s="28">
        <v>1.0</v>
      </c>
      <c r="DC10" s="28">
        <v>1.0</v>
      </c>
      <c r="DD10" s="28">
        <v>0.0</v>
      </c>
      <c r="DE10" s="28">
        <v>-1.0</v>
      </c>
      <c r="DF10" s="28">
        <v>-1.0</v>
      </c>
      <c r="DG10" s="28">
        <v>-1.0</v>
      </c>
      <c r="DH10" s="28">
        <v>0.0</v>
      </c>
      <c r="DI10" s="28">
        <v>2.0</v>
      </c>
      <c r="DJ10" s="28">
        <v>1.0</v>
      </c>
      <c r="DK10" s="28">
        <v>2.0</v>
      </c>
      <c r="DL10" s="28">
        <v>2.0</v>
      </c>
      <c r="DM10" s="28">
        <v>2.0</v>
      </c>
      <c r="DN10" s="28">
        <v>0.0</v>
      </c>
      <c r="DO10" s="28">
        <v>2.0</v>
      </c>
      <c r="DP10" s="28">
        <v>3.0</v>
      </c>
      <c r="DQ10" s="28">
        <v>2.0</v>
      </c>
      <c r="DR10" s="28">
        <v>3.0</v>
      </c>
      <c r="DS10" s="28">
        <v>1.0</v>
      </c>
      <c r="DT10" s="28">
        <v>3.0</v>
      </c>
      <c r="DU10" s="28">
        <v>0.0</v>
      </c>
      <c r="DV10" s="28">
        <v>0.0</v>
      </c>
      <c r="DW10" s="28">
        <v>1.0</v>
      </c>
      <c r="DX10" s="28">
        <v>1.0</v>
      </c>
      <c r="DY10" s="28">
        <v>3.0</v>
      </c>
      <c r="DZ10" s="28">
        <v>1.0</v>
      </c>
      <c r="EA10" s="28">
        <v>0.0</v>
      </c>
      <c r="EB10" s="28">
        <v>2.0</v>
      </c>
      <c r="EC10" s="28">
        <v>2.0</v>
      </c>
      <c r="ED10" s="28">
        <v>3.0</v>
      </c>
      <c r="EE10" s="28">
        <v>-1.0</v>
      </c>
      <c r="EF10" s="28">
        <v>3.0</v>
      </c>
      <c r="EG10" s="28">
        <v>1.0</v>
      </c>
      <c r="EH10" s="28">
        <v>2.0</v>
      </c>
      <c r="EI10" s="28">
        <v>1.0</v>
      </c>
      <c r="EJ10" s="28">
        <v>1.0</v>
      </c>
      <c r="EK10" s="28">
        <v>0.0</v>
      </c>
      <c r="EL10" s="28">
        <v>3.0</v>
      </c>
      <c r="EM10" s="28">
        <v>2.0</v>
      </c>
      <c r="EN10" s="28">
        <v>1.0</v>
      </c>
      <c r="EO10" s="28">
        <v>1.0</v>
      </c>
      <c r="EP10" s="28">
        <v>1.0</v>
      </c>
      <c r="EQ10" s="28">
        <v>0.0</v>
      </c>
      <c r="ER10" s="28">
        <v>1.0</v>
      </c>
      <c r="ES10" s="28">
        <v>0.0</v>
      </c>
      <c r="ET10" s="28">
        <v>4.0</v>
      </c>
      <c r="EU10" s="28">
        <v>0.0</v>
      </c>
      <c r="EV10" s="28">
        <v>-1.0</v>
      </c>
      <c r="EW10" s="28">
        <v>1.0</v>
      </c>
      <c r="EX10" s="28">
        <v>2.0</v>
      </c>
      <c r="EY10" s="28">
        <v>3.0</v>
      </c>
      <c r="EZ10" s="28">
        <v>3.0</v>
      </c>
      <c r="FA10" s="28">
        <v>-1.0</v>
      </c>
      <c r="FB10" s="28">
        <v>3.0</v>
      </c>
      <c r="FC10" s="28">
        <v>-1.0</v>
      </c>
      <c r="FD10" s="28" t="s">
        <v>769</v>
      </c>
      <c r="FE10" s="28">
        <v>0.0</v>
      </c>
      <c r="FF10" s="28">
        <v>1.0</v>
      </c>
      <c r="FG10" s="28">
        <v>-1.0</v>
      </c>
      <c r="FH10" s="28">
        <v>2.0</v>
      </c>
      <c r="FI10" s="28">
        <v>4.0</v>
      </c>
      <c r="FJ10" s="28">
        <v>1.0</v>
      </c>
      <c r="FK10" s="28">
        <v>3.0</v>
      </c>
      <c r="FL10" s="28">
        <v>1.0</v>
      </c>
      <c r="FM10" s="28">
        <v>4.0</v>
      </c>
      <c r="FN10" s="28">
        <v>0.0</v>
      </c>
      <c r="FO10" s="28">
        <v>2.0</v>
      </c>
      <c r="FP10" s="28">
        <v>4.0</v>
      </c>
      <c r="FQ10" s="28">
        <v>2.0</v>
      </c>
      <c r="FR10" s="28">
        <v>1.0</v>
      </c>
      <c r="FS10" s="28">
        <v>0.0</v>
      </c>
      <c r="FT10" s="28">
        <v>1.0</v>
      </c>
      <c r="FU10" s="28">
        <v>3.0</v>
      </c>
      <c r="FV10" s="28">
        <v>0.0</v>
      </c>
      <c r="FW10" s="28">
        <v>2.0</v>
      </c>
      <c r="FX10" s="28">
        <v>1.0</v>
      </c>
      <c r="FY10" s="28">
        <v>0.0</v>
      </c>
      <c r="FZ10" s="28">
        <v>3.0</v>
      </c>
      <c r="GA10" s="28">
        <v>0.0</v>
      </c>
      <c r="GB10" s="28">
        <v>1.0</v>
      </c>
      <c r="GC10" s="28">
        <v>-1.0</v>
      </c>
      <c r="GD10" s="28">
        <v>3.0</v>
      </c>
      <c r="GE10" s="28">
        <v>-2.0</v>
      </c>
      <c r="GF10" s="28">
        <v>-3.0</v>
      </c>
      <c r="GG10" s="28">
        <v>3.0</v>
      </c>
      <c r="GH10" s="28">
        <v>1.0</v>
      </c>
      <c r="GI10" s="28">
        <v>0.0</v>
      </c>
      <c r="GJ10" s="28">
        <v>3.0</v>
      </c>
      <c r="GK10" s="28">
        <v>2.0</v>
      </c>
      <c r="GL10" s="28">
        <v>1.0</v>
      </c>
      <c r="GM10" s="28">
        <v>2.0</v>
      </c>
      <c r="GN10" s="28">
        <v>2.0</v>
      </c>
      <c r="GO10" s="28" t="s">
        <v>755</v>
      </c>
      <c r="GP10" s="28" t="s">
        <v>769</v>
      </c>
      <c r="GQ10" s="28" t="s">
        <v>769</v>
      </c>
      <c r="GR10" s="28" t="s">
        <v>749</v>
      </c>
      <c r="GS10" s="28" t="s">
        <v>938</v>
      </c>
      <c r="GT10" s="28">
        <v>2.0</v>
      </c>
      <c r="GU10" s="28">
        <v>2.0</v>
      </c>
      <c r="GV10" s="28">
        <v>2.0</v>
      </c>
      <c r="GW10" s="28">
        <v>2.0</v>
      </c>
      <c r="GX10" s="28">
        <v>0.0</v>
      </c>
      <c r="GY10" s="28">
        <v>1.0</v>
      </c>
      <c r="GZ10" s="28">
        <v>1.0</v>
      </c>
      <c r="HA10" s="28">
        <v>3.0</v>
      </c>
      <c r="HB10" s="28">
        <v>3.0</v>
      </c>
      <c r="HC10" s="28">
        <v>2.0</v>
      </c>
      <c r="HD10" s="28">
        <v>2.0</v>
      </c>
      <c r="HE10" s="28">
        <v>2.0</v>
      </c>
      <c r="HF10" s="28">
        <v>5.0</v>
      </c>
      <c r="HG10" s="28">
        <v>3.0</v>
      </c>
      <c r="HH10" s="28" t="s">
        <v>749</v>
      </c>
      <c r="HI10" s="28" t="s">
        <v>938</v>
      </c>
      <c r="HJ10" s="28" t="s">
        <v>961</v>
      </c>
      <c r="HK10" s="28" t="s">
        <v>749</v>
      </c>
      <c r="HL10" s="28">
        <v>2.0</v>
      </c>
      <c r="HM10" s="28">
        <v>2.0</v>
      </c>
      <c r="HN10" s="28">
        <v>3.0</v>
      </c>
      <c r="HO10" s="28">
        <v>2.0</v>
      </c>
      <c r="HP10" s="28">
        <v>-2.0</v>
      </c>
      <c r="HQ10" s="28">
        <v>1.0</v>
      </c>
      <c r="HR10" s="28">
        <v>2.0</v>
      </c>
      <c r="HS10" s="28">
        <v>1.0</v>
      </c>
      <c r="HT10" s="28">
        <v>0.0</v>
      </c>
      <c r="HU10" s="28">
        <v>3.0</v>
      </c>
      <c r="HV10" s="28">
        <v>2.0</v>
      </c>
      <c r="HW10" s="28">
        <v>2.0</v>
      </c>
      <c r="HX10" s="28">
        <v>1.0</v>
      </c>
      <c r="HY10" s="28">
        <v>3.0</v>
      </c>
      <c r="HZ10" s="28">
        <v>2.0</v>
      </c>
      <c r="IA10" s="28">
        <v>2.0</v>
      </c>
      <c r="IB10" s="28">
        <v>2.0</v>
      </c>
      <c r="IC10" s="28">
        <v>1.0</v>
      </c>
      <c r="ID10" s="28">
        <v>4.0</v>
      </c>
      <c r="IE10" s="28">
        <v>2.0</v>
      </c>
      <c r="IF10" s="28">
        <v>-2.0</v>
      </c>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c r="KD10" s="28"/>
      <c r="KE10" s="28"/>
      <c r="KF10" s="28"/>
      <c r="KG10" s="28"/>
      <c r="KH10" s="28"/>
      <c r="KI10" s="28"/>
      <c r="KJ10" s="28"/>
      <c r="KK10" s="28"/>
      <c r="KL10" s="28"/>
      <c r="KM10" s="28"/>
      <c r="KN10" s="29"/>
    </row>
    <row r="11">
      <c r="A11" s="26" t="s">
        <v>13</v>
      </c>
      <c r="B11" s="28">
        <v>3.0</v>
      </c>
      <c r="C11" s="28">
        <v>0.0</v>
      </c>
      <c r="D11" s="28">
        <v>4.0</v>
      </c>
      <c r="E11" s="28">
        <v>2.0</v>
      </c>
      <c r="F11" s="28">
        <v>4.0</v>
      </c>
      <c r="G11" s="28">
        <v>1.0</v>
      </c>
      <c r="H11" s="28">
        <v>2.0</v>
      </c>
      <c r="I11" s="28">
        <v>1.0</v>
      </c>
      <c r="J11" s="28">
        <v>1.0</v>
      </c>
      <c r="K11" s="28">
        <v>1.0</v>
      </c>
      <c r="L11" s="28">
        <v>-1.0</v>
      </c>
      <c r="M11" s="28">
        <v>-1.0</v>
      </c>
      <c r="N11" s="28">
        <v>2.0</v>
      </c>
      <c r="O11" s="28">
        <v>2.0</v>
      </c>
      <c r="P11" s="28">
        <v>1.0</v>
      </c>
      <c r="Q11" s="28">
        <v>0.0</v>
      </c>
      <c r="R11" s="28">
        <v>3.0</v>
      </c>
      <c r="S11" s="28">
        <v>0.0</v>
      </c>
      <c r="T11" s="28">
        <v>0.0</v>
      </c>
      <c r="U11" s="28">
        <v>3.0</v>
      </c>
      <c r="V11" s="28">
        <v>3.0</v>
      </c>
      <c r="W11" s="28">
        <v>1.0</v>
      </c>
      <c r="X11" s="28">
        <v>1.0</v>
      </c>
      <c r="Y11" s="28">
        <v>3.0</v>
      </c>
      <c r="Z11" s="28">
        <v>1.0</v>
      </c>
      <c r="AA11" s="28">
        <v>0.0</v>
      </c>
      <c r="AB11" s="28">
        <v>1.0</v>
      </c>
      <c r="AC11" s="28">
        <v>4.0</v>
      </c>
      <c r="AD11" s="28">
        <v>3.0</v>
      </c>
      <c r="AE11" s="28">
        <v>1.0</v>
      </c>
      <c r="AF11" s="28">
        <v>0.0</v>
      </c>
      <c r="AG11" s="28">
        <v>1.0</v>
      </c>
      <c r="AH11" s="28">
        <v>0.0</v>
      </c>
      <c r="AI11" s="28">
        <v>0.0</v>
      </c>
      <c r="AJ11" s="28">
        <v>4.0</v>
      </c>
      <c r="AK11" s="28">
        <v>3.0</v>
      </c>
      <c r="AL11" s="28">
        <v>1.0</v>
      </c>
      <c r="AM11" s="28">
        <v>1.0</v>
      </c>
      <c r="AN11" s="28">
        <v>2.0</v>
      </c>
      <c r="AO11" s="28">
        <v>2.0</v>
      </c>
      <c r="AP11" s="28">
        <v>2.0</v>
      </c>
      <c r="AQ11" s="28">
        <v>0.0</v>
      </c>
      <c r="AR11" s="28">
        <v>2.0</v>
      </c>
      <c r="AS11" s="28">
        <v>0.0</v>
      </c>
      <c r="AT11" s="28">
        <v>1.0</v>
      </c>
      <c r="AU11" s="28">
        <v>5.0</v>
      </c>
      <c r="AV11" s="28">
        <v>2.0</v>
      </c>
      <c r="AW11" s="28">
        <v>4.0</v>
      </c>
      <c r="AX11" s="28">
        <v>3.0</v>
      </c>
      <c r="AY11" s="28">
        <v>2.0</v>
      </c>
      <c r="AZ11" s="28">
        <v>4.0</v>
      </c>
      <c r="BA11" s="28">
        <v>1.0</v>
      </c>
      <c r="BB11" s="28">
        <v>2.0</v>
      </c>
      <c r="BC11" s="28">
        <v>3.0</v>
      </c>
      <c r="BD11" s="28">
        <v>4.0</v>
      </c>
      <c r="BE11" s="28">
        <v>0.0</v>
      </c>
      <c r="BF11" s="28">
        <v>3.0</v>
      </c>
      <c r="BG11" s="28">
        <v>3.0</v>
      </c>
      <c r="BH11" s="28">
        <v>2.0</v>
      </c>
      <c r="BI11" s="28">
        <v>4.0</v>
      </c>
      <c r="BJ11" s="28">
        <v>4.0</v>
      </c>
      <c r="BK11" s="28">
        <v>1.0</v>
      </c>
      <c r="BL11" s="28">
        <v>3.0</v>
      </c>
      <c r="BM11" s="28">
        <v>2.0</v>
      </c>
      <c r="BN11" s="28">
        <v>3.0</v>
      </c>
      <c r="BO11" s="28">
        <v>4.0</v>
      </c>
      <c r="BP11" s="28">
        <v>4.0</v>
      </c>
      <c r="BQ11" s="28">
        <v>5.0</v>
      </c>
      <c r="BR11" s="28">
        <v>4.0</v>
      </c>
      <c r="BS11" s="28">
        <v>4.0</v>
      </c>
      <c r="BT11" s="28">
        <v>0.0</v>
      </c>
      <c r="BU11" s="28">
        <v>2.0</v>
      </c>
      <c r="BV11" s="28">
        <v>1.0</v>
      </c>
      <c r="BW11" s="28">
        <v>0.0</v>
      </c>
      <c r="BX11" s="28">
        <v>1.0</v>
      </c>
      <c r="BY11" s="28">
        <v>3.0</v>
      </c>
      <c r="BZ11" s="28">
        <v>1.0</v>
      </c>
      <c r="CA11" s="28">
        <v>3.0</v>
      </c>
      <c r="CB11" s="28">
        <v>2.0</v>
      </c>
      <c r="CC11" s="28">
        <v>4.0</v>
      </c>
      <c r="CD11" s="28">
        <v>3.0</v>
      </c>
      <c r="CE11" s="28">
        <v>2.0</v>
      </c>
      <c r="CF11" s="28">
        <v>3.0</v>
      </c>
      <c r="CG11" s="28">
        <v>0.0</v>
      </c>
      <c r="CH11" s="28">
        <v>1.0</v>
      </c>
      <c r="CI11" s="28">
        <v>0.0</v>
      </c>
      <c r="CJ11" s="28">
        <v>1.0</v>
      </c>
      <c r="CK11" s="28">
        <v>2.0</v>
      </c>
      <c r="CL11" s="28">
        <v>1.0</v>
      </c>
      <c r="CM11" s="28">
        <v>2.0</v>
      </c>
      <c r="CN11" s="28">
        <v>0.0</v>
      </c>
      <c r="CO11" s="28">
        <v>2.0</v>
      </c>
      <c r="CP11" s="28">
        <v>3.0</v>
      </c>
      <c r="CQ11" s="28">
        <v>4.0</v>
      </c>
      <c r="CR11" s="28">
        <v>4.0</v>
      </c>
      <c r="CS11" s="28">
        <v>3.0</v>
      </c>
      <c r="CT11" s="28">
        <v>3.0</v>
      </c>
      <c r="CU11" s="28">
        <v>4.0</v>
      </c>
      <c r="CV11" s="28">
        <v>4.0</v>
      </c>
      <c r="CW11" s="28">
        <v>3.0</v>
      </c>
      <c r="CX11" s="28">
        <v>2.0</v>
      </c>
      <c r="CY11" s="28">
        <v>1.0</v>
      </c>
      <c r="CZ11" s="28">
        <v>1.0</v>
      </c>
      <c r="DA11" s="28">
        <v>1.0</v>
      </c>
      <c r="DB11" s="28">
        <v>2.0</v>
      </c>
      <c r="DC11" s="28">
        <v>1.0</v>
      </c>
      <c r="DD11" s="28">
        <v>4.0</v>
      </c>
      <c r="DE11" s="28">
        <v>4.0</v>
      </c>
      <c r="DF11" s="28">
        <v>4.0</v>
      </c>
      <c r="DG11" s="28">
        <v>4.0</v>
      </c>
      <c r="DH11" s="28">
        <v>2.0</v>
      </c>
      <c r="DI11" s="28">
        <v>2.0</v>
      </c>
      <c r="DJ11" s="28">
        <v>0.0</v>
      </c>
      <c r="DK11" s="28">
        <v>1.0</v>
      </c>
      <c r="DL11" s="28">
        <v>1.0</v>
      </c>
      <c r="DM11" s="28">
        <v>3.0</v>
      </c>
      <c r="DN11" s="28">
        <v>0.0</v>
      </c>
      <c r="DO11" s="28">
        <v>1.0</v>
      </c>
      <c r="DP11" s="28">
        <v>1.0</v>
      </c>
      <c r="DQ11" s="28">
        <v>1.0</v>
      </c>
      <c r="DR11" s="28">
        <v>1.0</v>
      </c>
      <c r="DS11" s="28">
        <v>1.0</v>
      </c>
      <c r="DT11" s="28">
        <v>1.0</v>
      </c>
      <c r="DU11" s="28">
        <v>2.0</v>
      </c>
      <c r="DV11" s="28">
        <v>1.0</v>
      </c>
      <c r="DW11" s="28">
        <v>2.0</v>
      </c>
      <c r="DX11" s="28">
        <v>2.0</v>
      </c>
      <c r="DY11" s="28">
        <v>2.0</v>
      </c>
      <c r="DZ11" s="28">
        <v>0.0</v>
      </c>
      <c r="EA11" s="28">
        <v>1.0</v>
      </c>
      <c r="EB11" s="28">
        <v>0.0</v>
      </c>
      <c r="EC11" s="28">
        <v>0.0</v>
      </c>
      <c r="ED11" s="28">
        <v>4.0</v>
      </c>
      <c r="EE11" s="28">
        <v>1.0</v>
      </c>
      <c r="EF11" s="28">
        <v>1.0</v>
      </c>
      <c r="EG11" s="28">
        <v>4.0</v>
      </c>
      <c r="EH11" s="28">
        <v>2.0</v>
      </c>
      <c r="EI11" s="28">
        <v>2.0</v>
      </c>
      <c r="EJ11" s="28">
        <v>0.0</v>
      </c>
      <c r="EK11" s="28">
        <v>4.0</v>
      </c>
      <c r="EL11" s="28">
        <v>1.0</v>
      </c>
      <c r="EM11" s="28">
        <v>2.0</v>
      </c>
      <c r="EN11" s="28">
        <v>0.0</v>
      </c>
      <c r="EO11" s="28">
        <v>2.0</v>
      </c>
      <c r="EP11" s="28">
        <v>0.0</v>
      </c>
      <c r="EQ11" s="28">
        <v>1.0</v>
      </c>
      <c r="ER11" s="28">
        <v>3.0</v>
      </c>
      <c r="ES11" s="28">
        <v>1.0</v>
      </c>
      <c r="ET11" s="28">
        <v>4.0</v>
      </c>
      <c r="EU11" s="28">
        <v>2.0</v>
      </c>
      <c r="EV11" s="28">
        <v>2.0</v>
      </c>
      <c r="EW11" s="28">
        <v>3.0</v>
      </c>
      <c r="EX11" s="28">
        <v>4.0</v>
      </c>
      <c r="EY11" s="28">
        <v>2.0</v>
      </c>
      <c r="EZ11" s="28">
        <v>4.0</v>
      </c>
      <c r="FA11" s="28" t="s">
        <v>749</v>
      </c>
      <c r="FB11" s="28">
        <v>1.0</v>
      </c>
      <c r="FC11" s="28" t="s">
        <v>763</v>
      </c>
      <c r="FD11" s="28" t="s">
        <v>749</v>
      </c>
      <c r="FE11" s="28">
        <v>0.0</v>
      </c>
      <c r="FF11" s="28">
        <v>1.0</v>
      </c>
      <c r="FG11" s="28">
        <v>4.0</v>
      </c>
      <c r="FH11" s="28">
        <v>3.0</v>
      </c>
      <c r="FI11" s="28">
        <v>3.0</v>
      </c>
      <c r="FJ11" s="28">
        <v>3.0</v>
      </c>
      <c r="FK11" s="28">
        <v>1.0</v>
      </c>
      <c r="FL11" s="28">
        <v>3.0</v>
      </c>
      <c r="FM11" s="28">
        <v>1.0</v>
      </c>
      <c r="FN11" s="28">
        <v>0.0</v>
      </c>
      <c r="FO11" s="28">
        <v>2.0</v>
      </c>
      <c r="FP11" s="28">
        <v>2.0</v>
      </c>
      <c r="FQ11" s="28">
        <v>0.0</v>
      </c>
      <c r="FR11" s="28">
        <v>0.0</v>
      </c>
      <c r="FS11" s="28">
        <v>1.0</v>
      </c>
      <c r="FT11" s="28">
        <v>3.0</v>
      </c>
      <c r="FU11" s="28">
        <v>3.0</v>
      </c>
      <c r="FV11" s="28">
        <v>1.0</v>
      </c>
      <c r="FW11" s="28">
        <v>1.0</v>
      </c>
      <c r="FX11" s="28">
        <v>1.0</v>
      </c>
      <c r="FY11" s="28">
        <v>1.0</v>
      </c>
      <c r="FZ11" s="28">
        <v>4.0</v>
      </c>
      <c r="GA11" s="28">
        <v>1.0</v>
      </c>
      <c r="GB11" s="28">
        <v>2.0</v>
      </c>
      <c r="GC11" s="28">
        <v>3.0</v>
      </c>
      <c r="GD11" s="28">
        <v>2.0</v>
      </c>
      <c r="GE11" s="28">
        <v>4.0</v>
      </c>
      <c r="GF11" s="28">
        <v>1.0</v>
      </c>
      <c r="GG11" s="28">
        <v>1.0</v>
      </c>
      <c r="GH11" s="28">
        <v>0.0</v>
      </c>
      <c r="GI11" s="28">
        <v>2.0</v>
      </c>
      <c r="GJ11" s="28">
        <v>1.0</v>
      </c>
      <c r="GK11" s="28">
        <v>2.0</v>
      </c>
      <c r="GL11" s="28">
        <v>0.0</v>
      </c>
      <c r="GM11" s="28">
        <v>0.0</v>
      </c>
      <c r="GN11" s="28">
        <v>2.0</v>
      </c>
      <c r="GO11" s="28" t="s">
        <v>749</v>
      </c>
      <c r="GP11" s="28" t="s">
        <v>749</v>
      </c>
      <c r="GQ11" s="28" t="s">
        <v>749</v>
      </c>
      <c r="GR11" s="28" t="s">
        <v>938</v>
      </c>
      <c r="GS11" s="28" t="s">
        <v>749</v>
      </c>
      <c r="GT11" s="28">
        <v>1.0</v>
      </c>
      <c r="GU11" s="28">
        <v>0.0</v>
      </c>
      <c r="GV11" s="28">
        <v>1.0</v>
      </c>
      <c r="GW11" s="28">
        <v>1.0</v>
      </c>
      <c r="GX11" s="28">
        <v>1.0</v>
      </c>
      <c r="GY11" s="28">
        <v>2.0</v>
      </c>
      <c r="GZ11" s="28">
        <v>0.0</v>
      </c>
      <c r="HA11" s="28">
        <v>0.0</v>
      </c>
      <c r="HB11" s="28">
        <v>0.0</v>
      </c>
      <c r="HC11" s="28">
        <v>0.0</v>
      </c>
      <c r="HD11" s="28">
        <v>1.0</v>
      </c>
      <c r="HE11" s="28">
        <v>5.0</v>
      </c>
      <c r="HF11" s="28">
        <v>4.0</v>
      </c>
      <c r="HG11" s="28">
        <v>4.0</v>
      </c>
      <c r="HH11" s="28" t="s">
        <v>938</v>
      </c>
      <c r="HI11" s="28" t="s">
        <v>938</v>
      </c>
      <c r="HJ11" s="28" t="s">
        <v>749</v>
      </c>
      <c r="HK11" s="28" t="s">
        <v>749</v>
      </c>
      <c r="HL11" s="28">
        <v>3.0</v>
      </c>
      <c r="HM11" s="28">
        <v>2.0</v>
      </c>
      <c r="HN11" s="28">
        <v>3.0</v>
      </c>
      <c r="HO11" s="28">
        <v>3.0</v>
      </c>
      <c r="HP11" s="28">
        <v>0.0</v>
      </c>
      <c r="HQ11" s="28">
        <v>0.0</v>
      </c>
      <c r="HR11" s="28">
        <v>1.0</v>
      </c>
      <c r="HS11" s="28">
        <v>0.0</v>
      </c>
      <c r="HT11" s="28">
        <v>1.0</v>
      </c>
      <c r="HU11" s="28">
        <v>0.0</v>
      </c>
      <c r="HV11" s="28">
        <v>1.0</v>
      </c>
      <c r="HW11" s="28">
        <v>2.0</v>
      </c>
      <c r="HX11" s="28">
        <v>2.0</v>
      </c>
      <c r="HY11" s="28">
        <v>1.0</v>
      </c>
      <c r="HZ11" s="28">
        <v>1.0</v>
      </c>
      <c r="IA11" s="28">
        <v>1.0</v>
      </c>
      <c r="IB11" s="28">
        <v>1.0</v>
      </c>
      <c r="IC11" s="28">
        <v>1.0</v>
      </c>
      <c r="ID11" s="28">
        <v>0.0</v>
      </c>
      <c r="IE11" s="28">
        <v>1.0</v>
      </c>
      <c r="IF11" s="28">
        <v>2.0</v>
      </c>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c r="KL11" s="28"/>
      <c r="KM11" s="28"/>
      <c r="KN11" s="29"/>
    </row>
    <row r="12">
      <c r="A12" s="26" t="s">
        <v>14</v>
      </c>
      <c r="B12" s="28">
        <v>4.0</v>
      </c>
      <c r="C12" s="28">
        <v>-1.0</v>
      </c>
      <c r="D12" s="28">
        <v>4.0</v>
      </c>
      <c r="E12" s="28">
        <v>3.0</v>
      </c>
      <c r="F12" s="28">
        <v>4.0</v>
      </c>
      <c r="G12" s="28">
        <v>2.0</v>
      </c>
      <c r="H12" s="28">
        <v>-1.0</v>
      </c>
      <c r="I12" s="28">
        <v>-2.0</v>
      </c>
      <c r="J12" s="28">
        <v>-2.0</v>
      </c>
      <c r="K12" s="28">
        <v>-2.0</v>
      </c>
      <c r="L12" s="28">
        <v>2.0</v>
      </c>
      <c r="M12" s="28">
        <v>4.0</v>
      </c>
      <c r="N12" s="28">
        <v>2.0</v>
      </c>
      <c r="O12" s="28">
        <v>0.0</v>
      </c>
      <c r="P12" s="28">
        <v>-3.0</v>
      </c>
      <c r="Q12" s="28">
        <v>-1.0</v>
      </c>
      <c r="R12" s="28">
        <v>-3.0</v>
      </c>
      <c r="S12" s="28">
        <v>-3.0</v>
      </c>
      <c r="T12" s="28">
        <v>-3.0</v>
      </c>
      <c r="U12" s="28">
        <v>-2.0</v>
      </c>
      <c r="V12" s="28">
        <v>-2.0</v>
      </c>
      <c r="W12" s="28">
        <v>-2.0</v>
      </c>
      <c r="X12" s="28">
        <v>0.0</v>
      </c>
      <c r="Y12" s="28">
        <v>-4.0</v>
      </c>
      <c r="Z12" s="28">
        <v>-2.0</v>
      </c>
      <c r="AA12" s="28">
        <v>4.0</v>
      </c>
      <c r="AB12" s="28">
        <v>-1.0</v>
      </c>
      <c r="AC12" s="28">
        <v>-3.0</v>
      </c>
      <c r="AD12" s="28">
        <v>-2.0</v>
      </c>
      <c r="AE12" s="28">
        <v>-3.0</v>
      </c>
      <c r="AF12" s="28">
        <v>-3.0</v>
      </c>
      <c r="AG12" s="28">
        <v>0.0</v>
      </c>
      <c r="AH12" s="28">
        <v>-4.0</v>
      </c>
      <c r="AI12" s="28">
        <v>-4.0</v>
      </c>
      <c r="AJ12" s="28">
        <v>-3.0</v>
      </c>
      <c r="AK12" s="28">
        <v>-1.0</v>
      </c>
      <c r="AL12" s="28">
        <v>1.0</v>
      </c>
      <c r="AM12" s="28">
        <v>-3.0</v>
      </c>
      <c r="AN12" s="28">
        <v>4.0</v>
      </c>
      <c r="AO12" s="28">
        <v>-3.0</v>
      </c>
      <c r="AP12" s="28">
        <v>-2.0</v>
      </c>
      <c r="AQ12" s="28">
        <v>-1.0</v>
      </c>
      <c r="AR12" s="28">
        <v>-1.0</v>
      </c>
      <c r="AS12" s="28">
        <v>-3.0</v>
      </c>
      <c r="AT12" s="28">
        <v>-2.0</v>
      </c>
      <c r="AU12" s="28">
        <v>4.0</v>
      </c>
      <c r="AV12" s="28">
        <v>-2.0</v>
      </c>
      <c r="AW12" s="28">
        <v>3.0</v>
      </c>
      <c r="AX12" s="28">
        <v>3.0</v>
      </c>
      <c r="AY12" s="28">
        <v>-1.0</v>
      </c>
      <c r="AZ12" s="28">
        <v>5.0</v>
      </c>
      <c r="BA12" s="28">
        <v>1.0</v>
      </c>
      <c r="BB12" s="28">
        <v>3.0</v>
      </c>
      <c r="BC12" s="28">
        <v>4.0</v>
      </c>
      <c r="BD12" s="28">
        <v>2.0</v>
      </c>
      <c r="BE12" s="28">
        <v>1.0</v>
      </c>
      <c r="BF12" s="28">
        <v>-3.0</v>
      </c>
      <c r="BG12" s="28">
        <v>-3.0</v>
      </c>
      <c r="BH12" s="28">
        <v>-2.0</v>
      </c>
      <c r="BI12" s="28">
        <v>-3.0</v>
      </c>
      <c r="BJ12" s="28">
        <v>-3.0</v>
      </c>
      <c r="BK12" s="28">
        <v>-2.0</v>
      </c>
      <c r="BL12" s="28">
        <v>4.0</v>
      </c>
      <c r="BM12" s="28">
        <v>1.0</v>
      </c>
      <c r="BN12" s="28">
        <v>4.0</v>
      </c>
      <c r="BO12" s="28">
        <v>4.0</v>
      </c>
      <c r="BP12" s="28">
        <v>3.0</v>
      </c>
      <c r="BQ12" s="28">
        <v>3.0</v>
      </c>
      <c r="BR12" s="28">
        <v>4.0</v>
      </c>
      <c r="BS12" s="28">
        <v>4.0</v>
      </c>
      <c r="BT12" s="28">
        <v>1.0</v>
      </c>
      <c r="BU12" s="28">
        <v>2.0</v>
      </c>
      <c r="BV12" s="28">
        <v>3.0</v>
      </c>
      <c r="BW12" s="28">
        <v>4.0</v>
      </c>
      <c r="BX12" s="28">
        <v>1.0</v>
      </c>
      <c r="BY12" s="28">
        <v>0.0</v>
      </c>
      <c r="BZ12" s="28">
        <v>-3.0</v>
      </c>
      <c r="CA12" s="28">
        <v>3.0</v>
      </c>
      <c r="CB12" s="28">
        <v>-2.0</v>
      </c>
      <c r="CC12" s="28">
        <v>-2.0</v>
      </c>
      <c r="CD12" s="28">
        <v>-2.0</v>
      </c>
      <c r="CE12" s="28">
        <v>-2.0</v>
      </c>
      <c r="CF12" s="28">
        <v>-2.0</v>
      </c>
      <c r="CG12" s="28">
        <v>1.0</v>
      </c>
      <c r="CH12" s="28">
        <v>0.0</v>
      </c>
      <c r="CI12" s="28">
        <v>1.0</v>
      </c>
      <c r="CJ12" s="28">
        <v>-3.0</v>
      </c>
      <c r="CK12" s="28">
        <v>0.0</v>
      </c>
      <c r="CL12" s="28">
        <v>-4.0</v>
      </c>
      <c r="CM12" s="28">
        <v>0.0</v>
      </c>
      <c r="CN12" s="28">
        <v>0.0</v>
      </c>
      <c r="CO12" s="28">
        <v>-3.0</v>
      </c>
      <c r="CP12" s="28">
        <v>3.0</v>
      </c>
      <c r="CQ12" s="28">
        <v>1.0</v>
      </c>
      <c r="CR12" s="28">
        <v>2.0</v>
      </c>
      <c r="CS12" s="28">
        <v>-2.0</v>
      </c>
      <c r="CT12" s="28">
        <v>-2.0</v>
      </c>
      <c r="CU12" s="28">
        <v>1.0</v>
      </c>
      <c r="CV12" s="28">
        <v>3.0</v>
      </c>
      <c r="CW12" s="28">
        <v>-3.0</v>
      </c>
      <c r="CX12" s="28">
        <v>0.0</v>
      </c>
      <c r="CY12" s="28">
        <v>-1.0</v>
      </c>
      <c r="CZ12" s="28">
        <v>1.0</v>
      </c>
      <c r="DA12" s="28">
        <v>-1.0</v>
      </c>
      <c r="DB12" s="28">
        <v>-1.0</v>
      </c>
      <c r="DC12" s="28">
        <v>0.0</v>
      </c>
      <c r="DD12" s="28">
        <v>-2.0</v>
      </c>
      <c r="DE12" s="28">
        <v>-1.0</v>
      </c>
      <c r="DF12" s="28">
        <v>-2.0</v>
      </c>
      <c r="DG12" s="28">
        <v>-2.0</v>
      </c>
      <c r="DH12" s="28">
        <v>-3.0</v>
      </c>
      <c r="DI12" s="28">
        <v>-1.0</v>
      </c>
      <c r="DJ12" s="28">
        <v>-4.0</v>
      </c>
      <c r="DK12" s="28">
        <v>-3.0</v>
      </c>
      <c r="DL12" s="28">
        <v>-3.0</v>
      </c>
      <c r="DM12" s="28">
        <v>-3.0</v>
      </c>
      <c r="DN12" s="28">
        <v>0.0</v>
      </c>
      <c r="DO12" s="28">
        <v>2.0</v>
      </c>
      <c r="DP12" s="28">
        <v>1.0</v>
      </c>
      <c r="DQ12" s="28">
        <v>1.0</v>
      </c>
      <c r="DR12" s="28">
        <v>0.0</v>
      </c>
      <c r="DS12" s="28">
        <v>-2.0</v>
      </c>
      <c r="DT12" s="28">
        <v>-3.0</v>
      </c>
      <c r="DU12" s="28">
        <v>-3.0</v>
      </c>
      <c r="DV12" s="28">
        <v>2.0</v>
      </c>
      <c r="DW12" s="28">
        <v>-3.0</v>
      </c>
      <c r="DX12" s="28">
        <v>-2.0</v>
      </c>
      <c r="DY12" s="28">
        <v>2.0</v>
      </c>
      <c r="DZ12" s="28">
        <v>-4.0</v>
      </c>
      <c r="EA12" s="28">
        <v>0.0</v>
      </c>
      <c r="EB12" s="28">
        <v>-1.0</v>
      </c>
      <c r="EC12" s="28">
        <v>-1.0</v>
      </c>
      <c r="ED12" s="28">
        <v>4.0</v>
      </c>
      <c r="EE12" s="28">
        <v>-3.0</v>
      </c>
      <c r="EF12" s="28">
        <v>2.0</v>
      </c>
      <c r="EG12" s="28">
        <v>4.0</v>
      </c>
      <c r="EH12" s="28">
        <v>-3.0</v>
      </c>
      <c r="EI12" s="28">
        <v>-1.0</v>
      </c>
      <c r="EJ12" s="28">
        <v>3.0</v>
      </c>
      <c r="EK12" s="28">
        <v>-2.0</v>
      </c>
      <c r="EL12" s="28">
        <v>-2.0</v>
      </c>
      <c r="EM12" s="28">
        <v>-2.0</v>
      </c>
      <c r="EN12" s="28">
        <v>-2.0</v>
      </c>
      <c r="EO12" s="28">
        <v>2.0</v>
      </c>
      <c r="EP12" s="28">
        <v>0.0</v>
      </c>
      <c r="EQ12" s="28">
        <v>-2.0</v>
      </c>
      <c r="ER12" s="28">
        <v>1.0</v>
      </c>
      <c r="ES12" s="28">
        <v>-2.0</v>
      </c>
      <c r="ET12" s="28">
        <v>5.0</v>
      </c>
      <c r="EU12" s="28">
        <v>3.0</v>
      </c>
      <c r="EV12" s="28">
        <v>0.0</v>
      </c>
      <c r="EW12" s="28">
        <v>2.0</v>
      </c>
      <c r="EX12" s="28">
        <v>-3.0</v>
      </c>
      <c r="EY12" s="28">
        <v>-1.0</v>
      </c>
      <c r="EZ12" s="28">
        <v>3.0</v>
      </c>
      <c r="FA12" s="28">
        <v>-4.0</v>
      </c>
      <c r="FB12" s="28" t="s">
        <v>755</v>
      </c>
      <c r="FC12" s="28">
        <v>-2.0</v>
      </c>
      <c r="FD12" s="28" t="s">
        <v>749</v>
      </c>
      <c r="FE12" s="28">
        <v>-1.0</v>
      </c>
      <c r="FF12" s="28">
        <v>-1.0</v>
      </c>
      <c r="FG12" s="28">
        <v>-2.0</v>
      </c>
      <c r="FH12" s="28">
        <v>-4.0</v>
      </c>
      <c r="FI12" s="28">
        <v>2.0</v>
      </c>
      <c r="FJ12" s="28">
        <v>0.0</v>
      </c>
      <c r="FK12" s="28">
        <v>-1.0</v>
      </c>
      <c r="FL12" s="28">
        <v>-2.0</v>
      </c>
      <c r="FM12" s="28">
        <v>-2.0</v>
      </c>
      <c r="FN12" s="28">
        <v>0.0</v>
      </c>
      <c r="FO12" s="28">
        <v>-3.0</v>
      </c>
      <c r="FP12" s="28">
        <v>3.0</v>
      </c>
      <c r="FQ12" s="28">
        <v>-3.0</v>
      </c>
      <c r="FR12" s="28">
        <v>0.0</v>
      </c>
      <c r="FS12" s="28">
        <v>0.0</v>
      </c>
      <c r="FT12" s="28">
        <v>-3.0</v>
      </c>
      <c r="FU12" s="28">
        <v>3.0</v>
      </c>
      <c r="FV12" s="28">
        <v>-3.0</v>
      </c>
      <c r="FW12" s="28">
        <v>-2.0</v>
      </c>
      <c r="FX12" s="28">
        <v>-2.0</v>
      </c>
      <c r="FY12" s="28">
        <v>-3.0</v>
      </c>
      <c r="FZ12" s="28">
        <v>5.0</v>
      </c>
      <c r="GA12" s="28">
        <v>0.0</v>
      </c>
      <c r="GB12" s="28">
        <v>-3.0</v>
      </c>
      <c r="GC12" s="28">
        <v>-3.0</v>
      </c>
      <c r="GD12" s="28">
        <v>-2.0</v>
      </c>
      <c r="GE12" s="28">
        <v>-1.0</v>
      </c>
      <c r="GF12" s="28">
        <v>-4.0</v>
      </c>
      <c r="GG12" s="28">
        <v>-3.0</v>
      </c>
      <c r="GH12" s="28">
        <v>-1.0</v>
      </c>
      <c r="GI12" s="28">
        <v>-1.0</v>
      </c>
      <c r="GJ12" s="28">
        <v>-3.0</v>
      </c>
      <c r="GK12" s="28">
        <v>0.0</v>
      </c>
      <c r="GL12" s="28">
        <v>-4.0</v>
      </c>
      <c r="GM12" s="28">
        <v>-4.0</v>
      </c>
      <c r="GN12" s="28">
        <v>-2.0</v>
      </c>
      <c r="GO12" s="28" t="s">
        <v>756</v>
      </c>
      <c r="GP12" s="28" t="s">
        <v>756</v>
      </c>
      <c r="GQ12" s="28" t="s">
        <v>756</v>
      </c>
      <c r="GR12" s="28" t="s">
        <v>749</v>
      </c>
      <c r="GS12" s="28" t="s">
        <v>755</v>
      </c>
      <c r="GT12" s="28">
        <v>-3.0</v>
      </c>
      <c r="GU12" s="28">
        <v>-3.0</v>
      </c>
      <c r="GV12" s="28">
        <v>-2.0</v>
      </c>
      <c r="GW12" s="28">
        <v>-3.0</v>
      </c>
      <c r="GX12" s="28">
        <v>0.0</v>
      </c>
      <c r="GY12" s="28">
        <v>4.0</v>
      </c>
      <c r="GZ12" s="28">
        <v>-4.0</v>
      </c>
      <c r="HA12" s="28">
        <v>-2.0</v>
      </c>
      <c r="HB12" s="28">
        <v>-3.0</v>
      </c>
      <c r="HC12" s="28">
        <v>-2.0</v>
      </c>
      <c r="HD12" s="28">
        <v>-2.0</v>
      </c>
      <c r="HE12" s="28">
        <v>-3.0</v>
      </c>
      <c r="HF12" s="28">
        <v>5.0</v>
      </c>
      <c r="HG12" s="28">
        <v>3.0</v>
      </c>
      <c r="HH12" s="28" t="s">
        <v>938</v>
      </c>
      <c r="HI12" s="28" t="s">
        <v>961</v>
      </c>
      <c r="HJ12" s="28" t="s">
        <v>749</v>
      </c>
      <c r="HK12" s="28" t="s">
        <v>961</v>
      </c>
      <c r="HL12" s="28">
        <v>-1.0</v>
      </c>
      <c r="HM12" s="28">
        <v>1.0</v>
      </c>
      <c r="HN12" s="28">
        <v>1.0</v>
      </c>
      <c r="HO12" s="28">
        <v>-1.0</v>
      </c>
      <c r="HP12" s="28">
        <v>-4.0</v>
      </c>
      <c r="HQ12" s="28">
        <v>0.0</v>
      </c>
      <c r="HR12" s="28">
        <v>1.0</v>
      </c>
      <c r="HS12" s="28">
        <v>3.0</v>
      </c>
      <c r="HT12" s="28">
        <v>-3.0</v>
      </c>
      <c r="HU12" s="28">
        <v>-3.0</v>
      </c>
      <c r="HV12" s="28">
        <v>-1.0</v>
      </c>
      <c r="HW12" s="28">
        <v>0.0</v>
      </c>
      <c r="HX12" s="28">
        <v>1.0</v>
      </c>
      <c r="HY12" s="28">
        <v>-1.0</v>
      </c>
      <c r="HZ12" s="28">
        <v>-2.0</v>
      </c>
      <c r="IA12" s="28">
        <v>-1.0</v>
      </c>
      <c r="IB12" s="28">
        <v>0.0</v>
      </c>
      <c r="IC12" s="28">
        <v>-2.0</v>
      </c>
      <c r="ID12" s="28">
        <v>0.0</v>
      </c>
      <c r="IE12" s="28">
        <v>-3.0</v>
      </c>
      <c r="IF12" s="28">
        <v>-2.0</v>
      </c>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c r="JX12" s="28"/>
      <c r="JY12" s="28"/>
      <c r="JZ12" s="28"/>
      <c r="KA12" s="28"/>
      <c r="KB12" s="28"/>
      <c r="KC12" s="28"/>
      <c r="KD12" s="28"/>
      <c r="KE12" s="28"/>
      <c r="KF12" s="28"/>
      <c r="KG12" s="28"/>
      <c r="KH12" s="28"/>
      <c r="KI12" s="28"/>
      <c r="KJ12" s="28"/>
      <c r="KK12" s="28"/>
      <c r="KL12" s="28"/>
      <c r="KM12" s="28"/>
      <c r="KN12" s="29"/>
    </row>
    <row r="13">
      <c r="A13" s="26" t="s">
        <v>15</v>
      </c>
      <c r="B13" s="28">
        <v>2.0</v>
      </c>
      <c r="C13" s="28">
        <v>2.0</v>
      </c>
      <c r="D13" s="28">
        <v>5.0</v>
      </c>
      <c r="E13" s="28">
        <v>4.0</v>
      </c>
      <c r="F13" s="28">
        <v>4.0</v>
      </c>
      <c r="G13" s="28">
        <v>3.0</v>
      </c>
      <c r="H13" s="28">
        <v>1.0</v>
      </c>
      <c r="I13" s="28">
        <v>1.0</v>
      </c>
      <c r="J13" s="28">
        <v>1.0</v>
      </c>
      <c r="K13" s="28">
        <v>1.0</v>
      </c>
      <c r="L13" s="28">
        <v>0.0</v>
      </c>
      <c r="M13" s="28">
        <v>2.0</v>
      </c>
      <c r="N13" s="28">
        <v>3.0</v>
      </c>
      <c r="O13" s="28">
        <v>0.0</v>
      </c>
      <c r="P13" s="28">
        <v>1.0</v>
      </c>
      <c r="Q13" s="28">
        <v>0.0</v>
      </c>
      <c r="R13" s="28">
        <v>1.0</v>
      </c>
      <c r="S13" s="28">
        <v>1.0</v>
      </c>
      <c r="T13" s="28">
        <v>1.0</v>
      </c>
      <c r="U13" s="28">
        <v>1.0</v>
      </c>
      <c r="V13" s="28">
        <v>1.0</v>
      </c>
      <c r="W13" s="28">
        <v>1.0</v>
      </c>
      <c r="X13" s="28">
        <v>1.0</v>
      </c>
      <c r="Y13" s="28">
        <v>-3.0</v>
      </c>
      <c r="Z13" s="28">
        <v>1.0</v>
      </c>
      <c r="AA13" s="28">
        <v>2.0</v>
      </c>
      <c r="AB13" s="28">
        <v>0.0</v>
      </c>
      <c r="AC13" s="28">
        <v>1.0</v>
      </c>
      <c r="AD13" s="28">
        <v>1.0</v>
      </c>
      <c r="AE13" s="28">
        <v>1.0</v>
      </c>
      <c r="AF13" s="28">
        <v>1.0</v>
      </c>
      <c r="AG13" s="28">
        <v>2.0</v>
      </c>
      <c r="AH13" s="28">
        <v>-3.0</v>
      </c>
      <c r="AI13" s="28">
        <v>-3.0</v>
      </c>
      <c r="AJ13" s="28">
        <v>2.0</v>
      </c>
      <c r="AK13" s="28">
        <v>1.0</v>
      </c>
      <c r="AL13" s="28">
        <v>1.0</v>
      </c>
      <c r="AM13" s="28">
        <v>1.0</v>
      </c>
      <c r="AN13" s="28">
        <v>4.0</v>
      </c>
      <c r="AO13" s="28">
        <v>0.0</v>
      </c>
      <c r="AP13" s="28">
        <v>1.0</v>
      </c>
      <c r="AQ13" s="28">
        <v>2.0</v>
      </c>
      <c r="AR13" s="28">
        <v>-2.0</v>
      </c>
      <c r="AS13" s="28">
        <v>0.0</v>
      </c>
      <c r="AT13" s="28">
        <v>0.0</v>
      </c>
      <c r="AU13" s="28">
        <v>3.0</v>
      </c>
      <c r="AV13" s="28">
        <v>-1.0</v>
      </c>
      <c r="AW13" s="28">
        <v>2.0</v>
      </c>
      <c r="AX13" s="28">
        <v>3.0</v>
      </c>
      <c r="AY13" s="28">
        <v>1.0</v>
      </c>
      <c r="AZ13" s="28">
        <v>4.0</v>
      </c>
      <c r="BA13" s="28">
        <v>1.0</v>
      </c>
      <c r="BB13" s="28">
        <v>2.0</v>
      </c>
      <c r="BC13" s="28">
        <v>4.0</v>
      </c>
      <c r="BD13" s="28">
        <v>1.0</v>
      </c>
      <c r="BE13" s="28">
        <v>0.0</v>
      </c>
      <c r="BF13" s="28">
        <v>1.0</v>
      </c>
      <c r="BG13" s="28">
        <v>1.0</v>
      </c>
      <c r="BH13" s="28">
        <v>1.0</v>
      </c>
      <c r="BI13" s="28">
        <v>1.0</v>
      </c>
      <c r="BJ13" s="28">
        <v>1.0</v>
      </c>
      <c r="BK13" s="28">
        <v>1.0</v>
      </c>
      <c r="BL13" s="28">
        <v>3.0</v>
      </c>
      <c r="BM13" s="28">
        <v>0.0</v>
      </c>
      <c r="BN13" s="28">
        <v>5.0</v>
      </c>
      <c r="BO13" s="28">
        <v>4.0</v>
      </c>
      <c r="BP13" s="28">
        <v>3.0</v>
      </c>
      <c r="BQ13" s="28">
        <v>4.0</v>
      </c>
      <c r="BR13" s="28">
        <v>5.0</v>
      </c>
      <c r="BS13" s="28">
        <v>3.0</v>
      </c>
      <c r="BT13" s="28">
        <v>1.0</v>
      </c>
      <c r="BU13" s="28">
        <v>2.0</v>
      </c>
      <c r="BV13" s="28">
        <v>4.0</v>
      </c>
      <c r="BW13" s="28">
        <v>3.0</v>
      </c>
      <c r="BX13" s="28">
        <v>3.0</v>
      </c>
      <c r="BY13" s="28">
        <v>-1.0</v>
      </c>
      <c r="BZ13" s="28">
        <v>-1.0</v>
      </c>
      <c r="CA13" s="28">
        <v>2.0</v>
      </c>
      <c r="CB13" s="28">
        <v>1.0</v>
      </c>
      <c r="CC13" s="28">
        <v>1.0</v>
      </c>
      <c r="CD13" s="28">
        <v>1.0</v>
      </c>
      <c r="CE13" s="28">
        <v>1.0</v>
      </c>
      <c r="CF13" s="28">
        <v>1.0</v>
      </c>
      <c r="CG13" s="28">
        <v>1.0</v>
      </c>
      <c r="CH13" s="28">
        <v>0.0</v>
      </c>
      <c r="CI13" s="28">
        <v>0.0</v>
      </c>
      <c r="CJ13" s="28">
        <v>0.0</v>
      </c>
      <c r="CK13" s="28">
        <v>1.0</v>
      </c>
      <c r="CL13" s="28">
        <v>1.0</v>
      </c>
      <c r="CM13" s="28">
        <v>0.0</v>
      </c>
      <c r="CN13" s="28">
        <v>0.0</v>
      </c>
      <c r="CO13" s="28">
        <v>-1.0</v>
      </c>
      <c r="CP13" s="28">
        <v>3.0</v>
      </c>
      <c r="CQ13" s="28">
        <v>2.0</v>
      </c>
      <c r="CR13" s="28">
        <v>3.0</v>
      </c>
      <c r="CS13" s="28">
        <v>0.0</v>
      </c>
      <c r="CT13" s="28">
        <v>-2.0</v>
      </c>
      <c r="CU13" s="28">
        <v>1.0</v>
      </c>
      <c r="CV13" s="28">
        <v>4.0</v>
      </c>
      <c r="CW13" s="28">
        <v>0.0</v>
      </c>
      <c r="CX13" s="28">
        <v>0.0</v>
      </c>
      <c r="CY13" s="28">
        <v>0.0</v>
      </c>
      <c r="CZ13" s="28">
        <v>1.0</v>
      </c>
      <c r="DA13" s="28">
        <v>-1.0</v>
      </c>
      <c r="DB13" s="28">
        <v>0.0</v>
      </c>
      <c r="DC13" s="28">
        <v>2.0</v>
      </c>
      <c r="DD13" s="28">
        <v>0.0</v>
      </c>
      <c r="DE13" s="28">
        <v>1.0</v>
      </c>
      <c r="DF13" s="28">
        <v>0.0</v>
      </c>
      <c r="DG13" s="28">
        <v>0.0</v>
      </c>
      <c r="DH13" s="28">
        <v>1.0</v>
      </c>
      <c r="DI13" s="28">
        <v>1.0</v>
      </c>
      <c r="DJ13" s="28">
        <v>-3.0</v>
      </c>
      <c r="DK13" s="28">
        <v>1.0</v>
      </c>
      <c r="DL13" s="28">
        <v>1.0</v>
      </c>
      <c r="DM13" s="28">
        <v>1.0</v>
      </c>
      <c r="DN13" s="28">
        <v>1.0</v>
      </c>
      <c r="DO13" s="28">
        <v>3.0</v>
      </c>
      <c r="DP13" s="28">
        <v>2.0</v>
      </c>
      <c r="DQ13" s="28">
        <v>2.0</v>
      </c>
      <c r="DR13" s="28">
        <v>0.0</v>
      </c>
      <c r="DS13" s="28">
        <v>1.0</v>
      </c>
      <c r="DT13" s="28">
        <v>1.0</v>
      </c>
      <c r="DU13" s="28">
        <v>0.0</v>
      </c>
      <c r="DV13" s="28">
        <v>1.0</v>
      </c>
      <c r="DW13" s="28">
        <v>1.0</v>
      </c>
      <c r="DX13" s="28">
        <v>1.0</v>
      </c>
      <c r="DY13" s="28">
        <v>1.0</v>
      </c>
      <c r="DZ13" s="28">
        <v>1.0</v>
      </c>
      <c r="EA13" s="28">
        <v>0.0</v>
      </c>
      <c r="EB13" s="28">
        <v>0.0</v>
      </c>
      <c r="EC13" s="28">
        <v>1.0</v>
      </c>
      <c r="ED13" s="28">
        <v>3.0</v>
      </c>
      <c r="EE13" s="28">
        <v>-1.0</v>
      </c>
      <c r="EF13" s="28">
        <v>1.0</v>
      </c>
      <c r="EG13" s="28">
        <v>3.0</v>
      </c>
      <c r="EH13" s="28">
        <v>1.0</v>
      </c>
      <c r="EI13" s="28">
        <v>1.0</v>
      </c>
      <c r="EJ13" s="28">
        <v>1.0</v>
      </c>
      <c r="EK13" s="28">
        <v>1.0</v>
      </c>
      <c r="EL13" s="28">
        <v>1.0</v>
      </c>
      <c r="EM13" s="28">
        <v>1.0</v>
      </c>
      <c r="EN13" s="28">
        <v>1.0</v>
      </c>
      <c r="EO13" s="28">
        <v>3.0</v>
      </c>
      <c r="EP13" s="28">
        <v>1.0</v>
      </c>
      <c r="EQ13" s="28">
        <v>0.0</v>
      </c>
      <c r="ER13" s="28">
        <v>2.0</v>
      </c>
      <c r="ES13" s="28">
        <v>0.0</v>
      </c>
      <c r="ET13" s="28">
        <v>4.0</v>
      </c>
      <c r="EU13" s="28">
        <v>2.0</v>
      </c>
      <c r="EV13" s="28">
        <v>1.0</v>
      </c>
      <c r="EW13" s="28">
        <v>2.0</v>
      </c>
      <c r="EX13" s="28">
        <v>0.0</v>
      </c>
      <c r="EY13" s="28">
        <v>1.0</v>
      </c>
      <c r="EZ13" s="28">
        <v>4.0</v>
      </c>
      <c r="FA13" s="28">
        <v>-3.0</v>
      </c>
      <c r="FB13" s="28">
        <v>1.0</v>
      </c>
      <c r="FC13" s="28">
        <v>-2.0</v>
      </c>
      <c r="FD13" s="28" t="s">
        <v>769</v>
      </c>
      <c r="FE13" s="28">
        <v>0.0</v>
      </c>
      <c r="FF13" s="28">
        <v>0.0</v>
      </c>
      <c r="FG13" s="28">
        <v>0.0</v>
      </c>
      <c r="FH13" s="28">
        <v>-3.0</v>
      </c>
      <c r="FI13" s="28">
        <v>2.0</v>
      </c>
      <c r="FJ13" s="28">
        <v>1.0</v>
      </c>
      <c r="FK13" s="28">
        <v>1.0</v>
      </c>
      <c r="FL13" s="28">
        <v>2.0</v>
      </c>
      <c r="FM13" s="28">
        <v>1.0</v>
      </c>
      <c r="FN13" s="28">
        <v>0.0</v>
      </c>
      <c r="FO13" s="28">
        <v>1.0</v>
      </c>
      <c r="FP13" s="28">
        <v>3.0</v>
      </c>
      <c r="FQ13" s="28">
        <v>0.0</v>
      </c>
      <c r="FR13" s="28">
        <v>0.0</v>
      </c>
      <c r="FS13" s="28">
        <v>2.0</v>
      </c>
      <c r="FT13" s="28">
        <v>1.0</v>
      </c>
      <c r="FU13" s="28">
        <v>3.0</v>
      </c>
      <c r="FV13" s="28">
        <v>1.0</v>
      </c>
      <c r="FW13" s="28">
        <v>1.0</v>
      </c>
      <c r="FX13" s="28">
        <v>1.0</v>
      </c>
      <c r="FY13" s="28">
        <v>1.0</v>
      </c>
      <c r="FZ13" s="28">
        <v>6.0</v>
      </c>
      <c r="GA13" s="28">
        <v>0.0</v>
      </c>
      <c r="GB13" s="28">
        <v>1.0</v>
      </c>
      <c r="GC13" s="28">
        <v>0.0</v>
      </c>
      <c r="GD13" s="28">
        <v>2.0</v>
      </c>
      <c r="GE13" s="28">
        <v>2.0</v>
      </c>
      <c r="GF13" s="28">
        <v>-3.0</v>
      </c>
      <c r="GG13" s="28">
        <v>1.0</v>
      </c>
      <c r="GH13" s="28">
        <v>0.0</v>
      </c>
      <c r="GI13" s="28">
        <v>1.0</v>
      </c>
      <c r="GJ13" s="28">
        <v>0.0</v>
      </c>
      <c r="GK13" s="28">
        <v>0.0</v>
      </c>
      <c r="GL13" s="28">
        <v>0.0</v>
      </c>
      <c r="GM13" s="28">
        <v>0.0</v>
      </c>
      <c r="GN13" s="28">
        <v>0.0</v>
      </c>
      <c r="GO13" s="28" t="s">
        <v>938</v>
      </c>
      <c r="GP13" s="28" t="s">
        <v>769</v>
      </c>
      <c r="GQ13" s="28" t="s">
        <v>769</v>
      </c>
      <c r="GR13" s="28" t="s">
        <v>749</v>
      </c>
      <c r="GS13" s="28" t="s">
        <v>938</v>
      </c>
      <c r="GT13" s="28">
        <v>1.0</v>
      </c>
      <c r="GU13" s="28">
        <v>0.0</v>
      </c>
      <c r="GV13" s="28">
        <v>0.0</v>
      </c>
      <c r="GW13" s="28">
        <v>0.0</v>
      </c>
      <c r="GX13" s="28">
        <v>0.0</v>
      </c>
      <c r="GY13" s="28">
        <v>4.0</v>
      </c>
      <c r="GZ13" s="28">
        <v>0.0</v>
      </c>
      <c r="HA13" s="28">
        <v>1.0</v>
      </c>
      <c r="HB13" s="28">
        <v>1.0</v>
      </c>
      <c r="HC13" s="28">
        <v>0.0</v>
      </c>
      <c r="HD13" s="28">
        <v>0.0</v>
      </c>
      <c r="HE13" s="28">
        <v>1.0</v>
      </c>
      <c r="HF13" s="28">
        <v>4.0</v>
      </c>
      <c r="HG13" s="28">
        <v>4.0</v>
      </c>
      <c r="HH13" s="28" t="s">
        <v>938</v>
      </c>
      <c r="HI13" s="28" t="s">
        <v>769</v>
      </c>
      <c r="HJ13" s="28" t="s">
        <v>763</v>
      </c>
      <c r="HK13" s="28" t="s">
        <v>938</v>
      </c>
      <c r="HL13" s="28">
        <v>0.0</v>
      </c>
      <c r="HM13" s="28">
        <v>2.0</v>
      </c>
      <c r="HN13" s="28">
        <v>3.0</v>
      </c>
      <c r="HO13" s="28">
        <v>1.0</v>
      </c>
      <c r="HP13" s="28">
        <v>-3.0</v>
      </c>
      <c r="HQ13" s="28">
        <v>1.0</v>
      </c>
      <c r="HR13" s="28">
        <v>1.0</v>
      </c>
      <c r="HS13" s="28">
        <v>1.0</v>
      </c>
      <c r="HT13" s="28">
        <v>1.0</v>
      </c>
      <c r="HU13" s="28">
        <v>0.0</v>
      </c>
      <c r="HV13" s="28">
        <v>1.0</v>
      </c>
      <c r="HW13" s="28">
        <v>1.0</v>
      </c>
      <c r="HX13" s="28">
        <v>0.0</v>
      </c>
      <c r="HY13" s="28">
        <v>-1.0</v>
      </c>
      <c r="HZ13" s="28">
        <v>1.0</v>
      </c>
      <c r="IA13" s="28">
        <v>1.0</v>
      </c>
      <c r="IB13" s="28">
        <v>1.0</v>
      </c>
      <c r="IC13" s="28">
        <v>1.0</v>
      </c>
      <c r="ID13" s="28">
        <v>0.0</v>
      </c>
      <c r="IE13" s="28">
        <v>1.0</v>
      </c>
      <c r="IF13" s="28">
        <v>-2.0</v>
      </c>
      <c r="IG13" s="28"/>
      <c r="IH13" s="28"/>
      <c r="II13" s="28"/>
      <c r="IJ13" s="28"/>
      <c r="IK13" s="28"/>
      <c r="IL13" s="28"/>
      <c r="IM13" s="28"/>
      <c r="IN13" s="28"/>
      <c r="IO13" s="28"/>
      <c r="IP13" s="28"/>
      <c r="IQ13" s="28"/>
      <c r="IR13" s="28"/>
      <c r="IS13" s="28"/>
      <c r="IT13" s="28"/>
      <c r="IU13" s="28"/>
      <c r="IV13" s="28"/>
      <c r="IW13" s="28"/>
      <c r="IX13" s="28"/>
      <c r="IY13" s="28"/>
      <c r="IZ13" s="28"/>
      <c r="JA13" s="28"/>
      <c r="JB13" s="28"/>
      <c r="JC13" s="28"/>
      <c r="JD13" s="28"/>
      <c r="JE13" s="28"/>
      <c r="JF13" s="28"/>
      <c r="JG13" s="28"/>
      <c r="JH13" s="28"/>
      <c r="JI13" s="28"/>
      <c r="JJ13" s="28"/>
      <c r="JK13" s="28"/>
      <c r="JL13" s="28"/>
      <c r="JM13" s="28"/>
      <c r="JN13" s="28"/>
      <c r="JO13" s="28"/>
      <c r="JP13" s="28"/>
      <c r="JQ13" s="28"/>
      <c r="JR13" s="28"/>
      <c r="JS13" s="28"/>
      <c r="JT13" s="28"/>
      <c r="JU13" s="28"/>
      <c r="JV13" s="28"/>
      <c r="JW13" s="28"/>
      <c r="JX13" s="28"/>
      <c r="JY13" s="28"/>
      <c r="JZ13" s="28"/>
      <c r="KA13" s="28"/>
      <c r="KB13" s="28"/>
      <c r="KC13" s="28"/>
      <c r="KD13" s="28"/>
      <c r="KE13" s="28"/>
      <c r="KF13" s="28"/>
      <c r="KG13" s="28"/>
      <c r="KH13" s="28"/>
      <c r="KI13" s="28"/>
      <c r="KJ13" s="28"/>
      <c r="KK13" s="28"/>
      <c r="KL13" s="28"/>
      <c r="KM13" s="28"/>
      <c r="KN13" s="29"/>
    </row>
    <row r="14">
      <c r="A14" s="26" t="s">
        <v>16</v>
      </c>
      <c r="B14" s="28">
        <v>2.0</v>
      </c>
      <c r="C14" s="28">
        <v>0.0</v>
      </c>
      <c r="D14" s="28">
        <v>5.0</v>
      </c>
      <c r="E14" s="28">
        <v>4.0</v>
      </c>
      <c r="F14" s="28">
        <v>4.0</v>
      </c>
      <c r="G14" s="28">
        <v>3.0</v>
      </c>
      <c r="H14" s="28">
        <v>0.0</v>
      </c>
      <c r="I14" s="28">
        <v>-2.0</v>
      </c>
      <c r="J14" s="28">
        <v>0.0</v>
      </c>
      <c r="K14" s="28">
        <v>0.0</v>
      </c>
      <c r="L14" s="28">
        <v>0.0</v>
      </c>
      <c r="M14" s="28">
        <v>1.0</v>
      </c>
      <c r="N14" s="28">
        <v>3.0</v>
      </c>
      <c r="O14" s="28">
        <v>0.0</v>
      </c>
      <c r="P14" s="28">
        <v>-2.0</v>
      </c>
      <c r="Q14" s="28">
        <v>-1.0</v>
      </c>
      <c r="R14" s="28">
        <v>-3.0</v>
      </c>
      <c r="S14" s="28">
        <v>-3.0</v>
      </c>
      <c r="T14" s="28">
        <v>-3.0</v>
      </c>
      <c r="U14" s="28">
        <v>-2.0</v>
      </c>
      <c r="V14" s="28">
        <v>-2.0</v>
      </c>
      <c r="W14" s="28">
        <v>-1.0</v>
      </c>
      <c r="X14" s="28">
        <v>0.0</v>
      </c>
      <c r="Y14" s="28">
        <v>-4.0</v>
      </c>
      <c r="Z14" s="28">
        <v>-2.0</v>
      </c>
      <c r="AA14" s="28">
        <v>4.0</v>
      </c>
      <c r="AB14" s="28">
        <v>-2.0</v>
      </c>
      <c r="AC14" s="28">
        <v>-2.0</v>
      </c>
      <c r="AD14" s="28">
        <v>-3.0</v>
      </c>
      <c r="AE14" s="28">
        <v>-3.0</v>
      </c>
      <c r="AF14" s="28">
        <v>-3.0</v>
      </c>
      <c r="AG14" s="28">
        <v>1.0</v>
      </c>
      <c r="AH14" s="28">
        <v>-4.0</v>
      </c>
      <c r="AI14" s="28">
        <v>-4.0</v>
      </c>
      <c r="AJ14" s="28">
        <v>-1.0</v>
      </c>
      <c r="AK14" s="28">
        <v>-2.0</v>
      </c>
      <c r="AL14" s="28">
        <v>0.0</v>
      </c>
      <c r="AM14" s="28">
        <v>-3.0</v>
      </c>
      <c r="AN14" s="28">
        <v>5.0</v>
      </c>
      <c r="AO14" s="28">
        <v>-3.0</v>
      </c>
      <c r="AP14" s="28">
        <v>-2.0</v>
      </c>
      <c r="AQ14" s="28">
        <v>0.0</v>
      </c>
      <c r="AR14" s="28">
        <v>0.0</v>
      </c>
      <c r="AS14" s="28">
        <v>-3.0</v>
      </c>
      <c r="AT14" s="28">
        <v>-2.0</v>
      </c>
      <c r="AU14" s="28">
        <v>4.0</v>
      </c>
      <c r="AV14" s="28">
        <v>-3.0</v>
      </c>
      <c r="AW14" s="28">
        <v>2.0</v>
      </c>
      <c r="AX14" s="28">
        <v>4.0</v>
      </c>
      <c r="AY14" s="28">
        <v>0.0</v>
      </c>
      <c r="AZ14" s="28">
        <v>7.0</v>
      </c>
      <c r="BA14" s="28">
        <v>1.0</v>
      </c>
      <c r="BB14" s="28">
        <v>5.0</v>
      </c>
      <c r="BC14" s="28">
        <v>5.0</v>
      </c>
      <c r="BD14" s="28">
        <v>2.0</v>
      </c>
      <c r="BE14" s="28">
        <v>2.0</v>
      </c>
      <c r="BF14" s="28">
        <v>-3.0</v>
      </c>
      <c r="BG14" s="28">
        <v>-3.0</v>
      </c>
      <c r="BH14" s="28">
        <v>-3.0</v>
      </c>
      <c r="BI14" s="28">
        <v>-3.0</v>
      </c>
      <c r="BJ14" s="28">
        <v>-3.0</v>
      </c>
      <c r="BK14" s="28">
        <v>-3.0</v>
      </c>
      <c r="BL14" s="28">
        <v>3.0</v>
      </c>
      <c r="BM14" s="28">
        <v>4.0</v>
      </c>
      <c r="BN14" s="28">
        <v>5.0</v>
      </c>
      <c r="BO14" s="28">
        <v>5.0</v>
      </c>
      <c r="BP14" s="28">
        <v>4.0</v>
      </c>
      <c r="BQ14" s="28">
        <v>3.0</v>
      </c>
      <c r="BR14" s="28">
        <v>5.0</v>
      </c>
      <c r="BS14" s="28">
        <v>3.0</v>
      </c>
      <c r="BT14" s="28">
        <v>1.0</v>
      </c>
      <c r="BU14" s="28">
        <v>0.0</v>
      </c>
      <c r="BV14" s="28">
        <v>3.0</v>
      </c>
      <c r="BW14" s="28">
        <v>0.0</v>
      </c>
      <c r="BX14" s="28">
        <v>4.0</v>
      </c>
      <c r="BY14" s="28">
        <v>-1.0</v>
      </c>
      <c r="BZ14" s="28">
        <v>-3.0</v>
      </c>
      <c r="CA14" s="28">
        <v>3.0</v>
      </c>
      <c r="CB14" s="28">
        <v>-2.0</v>
      </c>
      <c r="CC14" s="28">
        <v>-2.0</v>
      </c>
      <c r="CD14" s="28">
        <v>-2.0</v>
      </c>
      <c r="CE14" s="28">
        <v>-2.0</v>
      </c>
      <c r="CF14" s="28">
        <v>0.0</v>
      </c>
      <c r="CG14" s="28">
        <v>1.0</v>
      </c>
      <c r="CH14" s="28">
        <v>-1.0</v>
      </c>
      <c r="CI14" s="28">
        <v>1.0</v>
      </c>
      <c r="CJ14" s="28">
        <v>-3.0</v>
      </c>
      <c r="CK14" s="28">
        <v>-1.0</v>
      </c>
      <c r="CL14" s="28">
        <v>-4.0</v>
      </c>
      <c r="CM14" s="28">
        <v>2.0</v>
      </c>
      <c r="CN14" s="28">
        <v>4.0</v>
      </c>
      <c r="CO14" s="28">
        <v>0.0</v>
      </c>
      <c r="CP14" s="28">
        <v>3.0</v>
      </c>
      <c r="CQ14" s="28">
        <v>1.0</v>
      </c>
      <c r="CR14" s="28">
        <v>2.0</v>
      </c>
      <c r="CS14" s="28">
        <v>-2.0</v>
      </c>
      <c r="CT14" s="28">
        <v>-2.0</v>
      </c>
      <c r="CU14" s="28">
        <v>-1.0</v>
      </c>
      <c r="CV14" s="28">
        <v>4.0</v>
      </c>
      <c r="CW14" s="28">
        <v>-3.0</v>
      </c>
      <c r="CX14" s="28">
        <v>1.0</v>
      </c>
      <c r="CY14" s="28">
        <v>-1.0</v>
      </c>
      <c r="CZ14" s="28">
        <v>1.0</v>
      </c>
      <c r="DA14" s="28">
        <v>-2.0</v>
      </c>
      <c r="DB14" s="28">
        <v>1.0</v>
      </c>
      <c r="DC14" s="28">
        <v>1.0</v>
      </c>
      <c r="DD14" s="28">
        <v>-2.0</v>
      </c>
      <c r="DE14" s="28">
        <v>-3.0</v>
      </c>
      <c r="DF14" s="28">
        <v>-2.0</v>
      </c>
      <c r="DG14" s="28">
        <v>-2.0</v>
      </c>
      <c r="DH14" s="28">
        <v>-3.0</v>
      </c>
      <c r="DI14" s="28">
        <v>-1.0</v>
      </c>
      <c r="DJ14" s="28">
        <v>-4.0</v>
      </c>
      <c r="DK14" s="28">
        <v>-3.0</v>
      </c>
      <c r="DL14" s="28">
        <v>-1.0</v>
      </c>
      <c r="DM14" s="28">
        <v>-2.0</v>
      </c>
      <c r="DN14" s="28">
        <v>0.0</v>
      </c>
      <c r="DO14" s="28">
        <v>3.0</v>
      </c>
      <c r="DP14" s="28">
        <v>2.0</v>
      </c>
      <c r="DQ14" s="28">
        <v>3.0</v>
      </c>
      <c r="DR14" s="28">
        <v>1.0</v>
      </c>
      <c r="DS14" s="28">
        <v>-3.0</v>
      </c>
      <c r="DT14" s="28">
        <v>-2.0</v>
      </c>
      <c r="DU14" s="28">
        <v>-3.0</v>
      </c>
      <c r="DV14" s="28">
        <v>1.0</v>
      </c>
      <c r="DW14" s="28">
        <v>-2.0</v>
      </c>
      <c r="DX14" s="28">
        <v>-2.0</v>
      </c>
      <c r="DY14" s="28">
        <v>0.0</v>
      </c>
      <c r="DZ14" s="28">
        <v>-4.0</v>
      </c>
      <c r="EA14" s="28">
        <v>1.0</v>
      </c>
      <c r="EB14" s="28">
        <v>-1.0</v>
      </c>
      <c r="EC14" s="28">
        <v>2.0</v>
      </c>
      <c r="ED14" s="28">
        <v>4.0</v>
      </c>
      <c r="EE14" s="28">
        <v>-3.0</v>
      </c>
      <c r="EF14" s="28">
        <v>3.0</v>
      </c>
      <c r="EG14" s="28">
        <v>3.0</v>
      </c>
      <c r="EH14" s="28">
        <v>-3.0</v>
      </c>
      <c r="EI14" s="28">
        <v>-2.0</v>
      </c>
      <c r="EJ14" s="28">
        <v>0.0</v>
      </c>
      <c r="EK14" s="28">
        <v>0.0</v>
      </c>
      <c r="EL14" s="28">
        <v>-3.0</v>
      </c>
      <c r="EM14" s="28">
        <v>-2.0</v>
      </c>
      <c r="EN14" s="28">
        <v>-2.0</v>
      </c>
      <c r="EO14" s="28">
        <v>4.0</v>
      </c>
      <c r="EP14" s="28">
        <v>1.0</v>
      </c>
      <c r="EQ14" s="28">
        <v>-3.0</v>
      </c>
      <c r="ER14" s="28">
        <v>1.0</v>
      </c>
      <c r="ES14" s="28">
        <v>-2.0</v>
      </c>
      <c r="ET14" s="28">
        <v>5.0</v>
      </c>
      <c r="EU14" s="28">
        <v>3.0</v>
      </c>
      <c r="EV14" s="28">
        <v>0.0</v>
      </c>
      <c r="EW14" s="28">
        <v>4.0</v>
      </c>
      <c r="EX14" s="28">
        <v>4.0</v>
      </c>
      <c r="EY14" s="28">
        <v>-2.0</v>
      </c>
      <c r="EZ14" s="28">
        <v>5.0</v>
      </c>
      <c r="FA14" s="28">
        <v>-4.0</v>
      </c>
      <c r="FB14" s="28" t="s">
        <v>756</v>
      </c>
      <c r="FC14" s="28">
        <v>-2.0</v>
      </c>
      <c r="FD14" s="28" t="s">
        <v>763</v>
      </c>
      <c r="FE14" s="28">
        <v>-1.0</v>
      </c>
      <c r="FF14" s="28">
        <v>-1.0</v>
      </c>
      <c r="FG14" s="28">
        <v>-3.0</v>
      </c>
      <c r="FH14" s="28">
        <v>-4.0</v>
      </c>
      <c r="FI14" s="28">
        <v>2.0</v>
      </c>
      <c r="FJ14" s="28">
        <v>-1.0</v>
      </c>
      <c r="FK14" s="28">
        <v>-2.0</v>
      </c>
      <c r="FL14" s="28">
        <v>-3.0</v>
      </c>
      <c r="FM14" s="28">
        <v>-3.0</v>
      </c>
      <c r="FN14" s="28">
        <v>0.0</v>
      </c>
      <c r="FO14" s="28">
        <v>0.0</v>
      </c>
      <c r="FP14" s="28">
        <v>3.0</v>
      </c>
      <c r="FQ14" s="28">
        <v>-3.0</v>
      </c>
      <c r="FR14" s="28">
        <v>0.0</v>
      </c>
      <c r="FS14" s="28">
        <v>1.0</v>
      </c>
      <c r="FT14" s="28">
        <v>-3.0</v>
      </c>
      <c r="FU14" s="28">
        <v>4.0</v>
      </c>
      <c r="FV14" s="28">
        <v>-3.0</v>
      </c>
      <c r="FW14" s="28">
        <v>-2.0</v>
      </c>
      <c r="FX14" s="28">
        <v>-2.0</v>
      </c>
      <c r="FY14" s="28">
        <v>-3.0</v>
      </c>
      <c r="FZ14" s="28">
        <v>5.0</v>
      </c>
      <c r="GA14" s="28">
        <v>2.0</v>
      </c>
      <c r="GB14" s="28">
        <v>-3.0</v>
      </c>
      <c r="GC14" s="28">
        <v>-3.0</v>
      </c>
      <c r="GD14" s="28">
        <v>-2.0</v>
      </c>
      <c r="GE14" s="28">
        <v>1.0</v>
      </c>
      <c r="GF14" s="28">
        <v>-4.0</v>
      </c>
      <c r="GG14" s="28">
        <v>-3.0</v>
      </c>
      <c r="GH14" s="28">
        <v>-1.0</v>
      </c>
      <c r="GI14" s="28">
        <v>-1.0</v>
      </c>
      <c r="GJ14" s="28">
        <v>-3.0</v>
      </c>
      <c r="GK14" s="28">
        <v>2.0</v>
      </c>
      <c r="GL14" s="28">
        <v>-4.0</v>
      </c>
      <c r="GM14" s="28">
        <v>-4.0</v>
      </c>
      <c r="GN14" s="28">
        <v>-1.0</v>
      </c>
      <c r="GO14" s="28" t="s">
        <v>756</v>
      </c>
      <c r="GP14" s="28" t="s">
        <v>756</v>
      </c>
      <c r="GQ14" s="28" t="s">
        <v>756</v>
      </c>
      <c r="GR14" s="28" t="s">
        <v>762</v>
      </c>
      <c r="GS14" s="28" t="s">
        <v>961</v>
      </c>
      <c r="GT14" s="28">
        <v>-3.0</v>
      </c>
      <c r="GU14" s="28">
        <v>-3.0</v>
      </c>
      <c r="GV14" s="28">
        <v>-2.0</v>
      </c>
      <c r="GW14" s="28">
        <v>-3.0</v>
      </c>
      <c r="GX14" s="28">
        <v>0.0</v>
      </c>
      <c r="GY14" s="28">
        <v>3.0</v>
      </c>
      <c r="GZ14" s="28">
        <v>-4.0</v>
      </c>
      <c r="HA14" s="28">
        <v>-2.0</v>
      </c>
      <c r="HB14" s="28">
        <v>-3.0</v>
      </c>
      <c r="HC14" s="28">
        <v>-2.0</v>
      </c>
      <c r="HD14" s="28">
        <v>-2.0</v>
      </c>
      <c r="HE14" s="28">
        <v>-3.0</v>
      </c>
      <c r="HF14" s="28">
        <v>4.0</v>
      </c>
      <c r="HG14" s="28">
        <v>5.0</v>
      </c>
      <c r="HH14" s="28" t="s">
        <v>769</v>
      </c>
      <c r="HI14" s="28" t="s">
        <v>961</v>
      </c>
      <c r="HJ14" s="28" t="s">
        <v>769</v>
      </c>
      <c r="HK14" s="28" t="s">
        <v>961</v>
      </c>
      <c r="HL14" s="28">
        <v>-1.0</v>
      </c>
      <c r="HM14" s="28">
        <v>3.0</v>
      </c>
      <c r="HN14" s="28">
        <v>4.0</v>
      </c>
      <c r="HO14" s="28">
        <v>2.0</v>
      </c>
      <c r="HP14" s="28">
        <v>-4.0</v>
      </c>
      <c r="HQ14" s="28">
        <v>0.0</v>
      </c>
      <c r="HR14" s="28">
        <v>1.0</v>
      </c>
      <c r="HS14" s="28">
        <v>1.0</v>
      </c>
      <c r="HT14" s="28">
        <v>-3.0</v>
      </c>
      <c r="HU14" s="28">
        <v>-3.0</v>
      </c>
      <c r="HV14" s="28">
        <v>-1.0</v>
      </c>
      <c r="HW14" s="28">
        <v>0.0</v>
      </c>
      <c r="HX14" s="28">
        <v>3.0</v>
      </c>
      <c r="HY14" s="28">
        <v>-2.0</v>
      </c>
      <c r="HZ14" s="28">
        <v>0.0</v>
      </c>
      <c r="IA14" s="28">
        <v>0.0</v>
      </c>
      <c r="IB14" s="28">
        <v>0.0</v>
      </c>
      <c r="IC14" s="28">
        <v>-2.0</v>
      </c>
      <c r="ID14" s="28">
        <v>3.0</v>
      </c>
      <c r="IE14" s="28">
        <v>-3.0</v>
      </c>
      <c r="IF14" s="28">
        <v>-3.0</v>
      </c>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c r="JX14" s="28"/>
      <c r="JY14" s="28"/>
      <c r="JZ14" s="28"/>
      <c r="KA14" s="28"/>
      <c r="KB14" s="28"/>
      <c r="KC14" s="28"/>
      <c r="KD14" s="28"/>
      <c r="KE14" s="28"/>
      <c r="KF14" s="28"/>
      <c r="KG14" s="28"/>
      <c r="KH14" s="28"/>
      <c r="KI14" s="28"/>
      <c r="KJ14" s="28"/>
      <c r="KK14" s="28"/>
      <c r="KL14" s="28"/>
      <c r="KM14" s="28"/>
      <c r="KN14" s="29"/>
    </row>
    <row r="15">
      <c r="A15" s="26" t="s">
        <v>17</v>
      </c>
      <c r="B15" s="28" t="s">
        <v>13</v>
      </c>
      <c r="C15" s="28" t="s">
        <v>41</v>
      </c>
      <c r="D15" s="28" t="s">
        <v>41</v>
      </c>
      <c r="E15" s="28" t="s">
        <v>41</v>
      </c>
      <c r="F15" s="28" t="s">
        <v>41</v>
      </c>
      <c r="G15" s="28" t="s">
        <v>41</v>
      </c>
      <c r="H15" s="28" t="s">
        <v>13</v>
      </c>
      <c r="I15" s="28" t="s">
        <v>76</v>
      </c>
      <c r="J15" s="28" t="s">
        <v>76</v>
      </c>
      <c r="K15" s="28" t="s">
        <v>76</v>
      </c>
      <c r="L15" s="28" t="s">
        <v>76</v>
      </c>
      <c r="M15" s="28" t="s">
        <v>41</v>
      </c>
      <c r="N15" s="28" t="s">
        <v>13</v>
      </c>
      <c r="O15" s="28" t="s">
        <v>41</v>
      </c>
      <c r="P15" s="28" t="s">
        <v>76</v>
      </c>
      <c r="Q15" s="28" t="s">
        <v>13</v>
      </c>
      <c r="R15" s="28" t="s">
        <v>76</v>
      </c>
      <c r="S15" s="28" t="s">
        <v>76</v>
      </c>
      <c r="T15" s="28" t="s">
        <v>76</v>
      </c>
      <c r="U15" s="28" t="s">
        <v>76</v>
      </c>
      <c r="V15" s="28" t="s">
        <v>76</v>
      </c>
      <c r="W15" s="28" t="s">
        <v>13</v>
      </c>
      <c r="X15" s="28" t="s">
        <v>76</v>
      </c>
      <c r="Y15" s="28" t="s">
        <v>76</v>
      </c>
      <c r="Z15" s="28" t="s">
        <v>76</v>
      </c>
      <c r="AA15" s="28" t="s">
        <v>13</v>
      </c>
      <c r="AB15" s="28" t="s">
        <v>13</v>
      </c>
      <c r="AC15" s="28" t="s">
        <v>76</v>
      </c>
      <c r="AD15" s="28" t="s">
        <v>76</v>
      </c>
      <c r="AE15" s="28" t="s">
        <v>76</v>
      </c>
      <c r="AF15" s="28" t="s">
        <v>76</v>
      </c>
      <c r="AG15" s="28" t="s">
        <v>76</v>
      </c>
      <c r="AH15" s="28" t="s">
        <v>76</v>
      </c>
      <c r="AI15" s="28" t="s">
        <v>76</v>
      </c>
      <c r="AJ15" s="28" t="s">
        <v>13</v>
      </c>
      <c r="AK15" s="28" t="s">
        <v>13</v>
      </c>
      <c r="AL15" s="28" t="s">
        <v>13</v>
      </c>
      <c r="AM15" s="28" t="s">
        <v>76</v>
      </c>
      <c r="AN15" s="28" t="s">
        <v>41</v>
      </c>
      <c r="AO15" s="28" t="s">
        <v>76</v>
      </c>
      <c r="AP15" s="28" t="s">
        <v>76</v>
      </c>
      <c r="AQ15" s="28" t="s">
        <v>13</v>
      </c>
      <c r="AR15" s="28" t="s">
        <v>13</v>
      </c>
      <c r="AS15" s="28" t="s">
        <v>76</v>
      </c>
      <c r="AT15" s="28" t="s">
        <v>13</v>
      </c>
      <c r="AU15" s="28" t="s">
        <v>13</v>
      </c>
      <c r="AV15" s="28" t="s">
        <v>13</v>
      </c>
      <c r="AW15" s="28" t="s">
        <v>13</v>
      </c>
      <c r="AX15" s="28" t="s">
        <v>13</v>
      </c>
      <c r="AY15" s="28" t="s">
        <v>13</v>
      </c>
      <c r="AZ15" s="28" t="s">
        <v>13</v>
      </c>
      <c r="BA15" s="28" t="s">
        <v>13</v>
      </c>
      <c r="BB15" s="28" t="s">
        <v>13</v>
      </c>
      <c r="BC15" s="28" t="s">
        <v>13</v>
      </c>
      <c r="BD15" s="28" t="s">
        <v>13</v>
      </c>
      <c r="BE15" s="28" t="s">
        <v>13</v>
      </c>
      <c r="BF15" s="28" t="s">
        <v>76</v>
      </c>
      <c r="BG15" s="28" t="s">
        <v>76</v>
      </c>
      <c r="BH15" s="28" t="s">
        <v>76</v>
      </c>
      <c r="BI15" s="28" t="s">
        <v>76</v>
      </c>
      <c r="BJ15" s="28" t="s">
        <v>76</v>
      </c>
      <c r="BK15" s="28" t="s">
        <v>76</v>
      </c>
      <c r="BL15" s="28" t="s">
        <v>76</v>
      </c>
      <c r="BM15" s="28" t="s">
        <v>13</v>
      </c>
      <c r="BN15" s="28" t="s">
        <v>41</v>
      </c>
      <c r="BO15" s="28" t="s">
        <v>13</v>
      </c>
      <c r="BP15" s="28" t="s">
        <v>76</v>
      </c>
      <c r="BQ15" s="28" t="s">
        <v>76</v>
      </c>
      <c r="BR15" s="28" t="s">
        <v>41</v>
      </c>
      <c r="BS15" s="28" t="s">
        <v>13</v>
      </c>
      <c r="BT15" s="28" t="s">
        <v>13</v>
      </c>
      <c r="BU15" s="28" t="s">
        <v>13</v>
      </c>
      <c r="BV15" s="28" t="s">
        <v>13</v>
      </c>
      <c r="BW15" s="28" t="s">
        <v>76</v>
      </c>
      <c r="BX15" s="28" t="s">
        <v>76</v>
      </c>
      <c r="BY15" s="28" t="s">
        <v>13</v>
      </c>
      <c r="BZ15" s="28" t="s">
        <v>76</v>
      </c>
      <c r="CA15" s="28" t="s">
        <v>13</v>
      </c>
      <c r="CB15" s="28" t="s">
        <v>76</v>
      </c>
      <c r="CC15" s="28" t="s">
        <v>76</v>
      </c>
      <c r="CD15" s="28" t="s">
        <v>76</v>
      </c>
      <c r="CE15" s="28" t="s">
        <v>76</v>
      </c>
      <c r="CF15" s="28" t="s">
        <v>76</v>
      </c>
      <c r="CG15" s="28" t="s">
        <v>41</v>
      </c>
      <c r="CH15" s="28" t="s">
        <v>13</v>
      </c>
      <c r="CI15" s="28" t="s">
        <v>76</v>
      </c>
      <c r="CJ15" s="28" t="s">
        <v>76</v>
      </c>
      <c r="CK15" s="28" t="s">
        <v>13</v>
      </c>
      <c r="CL15" s="28" t="s">
        <v>76</v>
      </c>
      <c r="CM15" s="28" t="s">
        <v>13</v>
      </c>
      <c r="CN15" s="28" t="s">
        <v>13</v>
      </c>
      <c r="CO15" s="28" t="s">
        <v>13</v>
      </c>
      <c r="CP15" s="28" t="s">
        <v>76</v>
      </c>
      <c r="CQ15" s="28" t="s">
        <v>13</v>
      </c>
      <c r="CR15" s="28" t="s">
        <v>13</v>
      </c>
      <c r="CS15" s="28" t="s">
        <v>13</v>
      </c>
      <c r="CT15" s="28" t="s">
        <v>13</v>
      </c>
      <c r="CU15" s="28" t="s">
        <v>76</v>
      </c>
      <c r="CV15" s="28" t="s">
        <v>41</v>
      </c>
      <c r="CW15" s="28" t="s">
        <v>76</v>
      </c>
      <c r="CX15" s="28" t="s">
        <v>76</v>
      </c>
      <c r="CY15" s="28" t="s">
        <v>13</v>
      </c>
      <c r="CZ15" s="28" t="s">
        <v>41</v>
      </c>
      <c r="DA15" s="28" t="s">
        <v>13</v>
      </c>
      <c r="DB15" s="28" t="s">
        <v>13</v>
      </c>
      <c r="DC15" s="28" t="s">
        <v>13</v>
      </c>
      <c r="DD15" s="28" t="s">
        <v>76</v>
      </c>
      <c r="DE15" s="28" t="s">
        <v>76</v>
      </c>
      <c r="DF15" s="28" t="s">
        <v>76</v>
      </c>
      <c r="DG15" s="28" t="s">
        <v>76</v>
      </c>
      <c r="DH15" s="28" t="s">
        <v>13</v>
      </c>
      <c r="DI15" s="28" t="s">
        <v>76</v>
      </c>
      <c r="DJ15" s="28" t="s">
        <v>76</v>
      </c>
      <c r="DK15" s="28" t="s">
        <v>76</v>
      </c>
      <c r="DL15" s="28" t="s">
        <v>76</v>
      </c>
      <c r="DM15" s="28" t="s">
        <v>76</v>
      </c>
      <c r="DN15" s="28" t="s">
        <v>41</v>
      </c>
      <c r="DO15" s="28" t="s">
        <v>13</v>
      </c>
      <c r="DP15" s="28" t="s">
        <v>13</v>
      </c>
      <c r="DQ15" s="28" t="s">
        <v>13</v>
      </c>
      <c r="DR15" s="28" t="s">
        <v>13</v>
      </c>
      <c r="DS15" s="28" t="s">
        <v>13</v>
      </c>
      <c r="DT15" s="28" t="s">
        <v>76</v>
      </c>
      <c r="DU15" s="28" t="s">
        <v>76</v>
      </c>
      <c r="DV15" s="28" t="s">
        <v>13</v>
      </c>
      <c r="DW15" s="28" t="s">
        <v>76</v>
      </c>
      <c r="DX15" s="28" t="s">
        <v>76</v>
      </c>
      <c r="DY15" s="28" t="s">
        <v>76</v>
      </c>
      <c r="DZ15" s="28" t="s">
        <v>76</v>
      </c>
      <c r="EA15" s="28" t="s">
        <v>41</v>
      </c>
      <c r="EB15" s="28" t="s">
        <v>13</v>
      </c>
      <c r="EC15" s="28" t="s">
        <v>13</v>
      </c>
      <c r="ED15" s="28" t="s">
        <v>13</v>
      </c>
      <c r="EE15" s="28" t="s">
        <v>76</v>
      </c>
      <c r="EF15" s="28" t="s">
        <v>76</v>
      </c>
      <c r="EG15" s="28" t="s">
        <v>13</v>
      </c>
      <c r="EH15" s="28" t="s">
        <v>76</v>
      </c>
      <c r="EI15" s="28" t="s">
        <v>13</v>
      </c>
      <c r="EJ15" s="28" t="s">
        <v>41</v>
      </c>
      <c r="EK15" s="28" t="s">
        <v>76</v>
      </c>
      <c r="EL15" s="28" t="s">
        <v>76</v>
      </c>
      <c r="EM15" s="28" t="s">
        <v>13</v>
      </c>
      <c r="EN15" s="28" t="s">
        <v>76</v>
      </c>
      <c r="EO15" s="28" t="s">
        <v>13</v>
      </c>
      <c r="EP15" s="28" t="s">
        <v>41</v>
      </c>
      <c r="EQ15" s="28" t="s">
        <v>76</v>
      </c>
      <c r="ER15" s="28" t="s">
        <v>13</v>
      </c>
      <c r="ES15" s="28" t="s">
        <v>76</v>
      </c>
      <c r="ET15" s="28" t="s">
        <v>76</v>
      </c>
      <c r="EU15" s="28" t="s">
        <v>13</v>
      </c>
      <c r="EV15" s="28" t="s">
        <v>76</v>
      </c>
      <c r="EW15" s="28" t="s">
        <v>13</v>
      </c>
      <c r="EX15" s="28" t="s">
        <v>13</v>
      </c>
      <c r="EY15" s="28" t="s">
        <v>13</v>
      </c>
      <c r="EZ15" s="28" t="s">
        <v>13</v>
      </c>
      <c r="FA15" s="28" t="s">
        <v>76</v>
      </c>
      <c r="FB15" s="28" t="s">
        <v>76</v>
      </c>
      <c r="FC15" s="28" t="s">
        <v>13</v>
      </c>
      <c r="FD15" s="28" t="s">
        <v>13</v>
      </c>
      <c r="FE15" s="28" t="s">
        <v>13</v>
      </c>
      <c r="FF15" s="28" t="s">
        <v>13</v>
      </c>
      <c r="FG15" s="28" t="s">
        <v>76</v>
      </c>
      <c r="FH15" s="28" t="s">
        <v>13</v>
      </c>
      <c r="FI15" s="28" t="s">
        <v>13</v>
      </c>
      <c r="FJ15" s="28" t="s">
        <v>13</v>
      </c>
      <c r="FK15" s="28" t="s">
        <v>13</v>
      </c>
      <c r="FL15" s="28" t="s">
        <v>76</v>
      </c>
      <c r="FM15" s="28" t="s">
        <v>76</v>
      </c>
      <c r="FN15" s="28" t="s">
        <v>41</v>
      </c>
      <c r="FO15" s="28" t="s">
        <v>76</v>
      </c>
      <c r="FP15" s="28" t="s">
        <v>41</v>
      </c>
      <c r="FQ15" s="28" t="s">
        <v>76</v>
      </c>
      <c r="FR15" s="28" t="s">
        <v>13</v>
      </c>
      <c r="FS15" s="28" t="s">
        <v>41</v>
      </c>
      <c r="FT15" s="28" t="s">
        <v>76</v>
      </c>
      <c r="FU15" s="28" t="s">
        <v>13</v>
      </c>
      <c r="FV15" s="28" t="s">
        <v>76</v>
      </c>
      <c r="FW15" s="28" t="s">
        <v>76</v>
      </c>
      <c r="FX15" s="28" t="s">
        <v>76</v>
      </c>
      <c r="FY15" s="28" t="s">
        <v>76</v>
      </c>
      <c r="FZ15" s="28" t="s">
        <v>41</v>
      </c>
      <c r="GA15" s="28" t="s">
        <v>13</v>
      </c>
      <c r="GB15" s="28" t="s">
        <v>76</v>
      </c>
      <c r="GC15" s="28" t="s">
        <v>76</v>
      </c>
      <c r="GD15" s="28" t="s">
        <v>76</v>
      </c>
      <c r="GE15" s="28" t="s">
        <v>76</v>
      </c>
      <c r="GF15" s="28" t="s">
        <v>76</v>
      </c>
      <c r="GG15" s="28" t="s">
        <v>76</v>
      </c>
      <c r="GH15" s="28" t="s">
        <v>13</v>
      </c>
      <c r="GI15" s="28" t="s">
        <v>13</v>
      </c>
      <c r="GJ15" s="28" t="s">
        <v>76</v>
      </c>
      <c r="GK15" s="28" t="s">
        <v>13</v>
      </c>
      <c r="GL15" s="28" t="s">
        <v>76</v>
      </c>
      <c r="GM15" s="28" t="s">
        <v>76</v>
      </c>
      <c r="GN15" s="28" t="s">
        <v>13</v>
      </c>
      <c r="GO15" s="28" t="s">
        <v>76</v>
      </c>
      <c r="GP15" s="28" t="s">
        <v>76</v>
      </c>
      <c r="GQ15" s="28" t="s">
        <v>76</v>
      </c>
      <c r="GR15" s="28" t="s">
        <v>13</v>
      </c>
      <c r="GS15" s="28" t="s">
        <v>13</v>
      </c>
      <c r="GT15" s="28" t="s">
        <v>76</v>
      </c>
      <c r="GU15" s="28" t="s">
        <v>76</v>
      </c>
      <c r="GV15" s="28" t="s">
        <v>76</v>
      </c>
      <c r="GW15" s="28" t="s">
        <v>76</v>
      </c>
      <c r="GX15" s="28" t="s">
        <v>41</v>
      </c>
      <c r="GY15" s="28" t="s">
        <v>41</v>
      </c>
      <c r="GZ15" s="28" t="s">
        <v>76</v>
      </c>
      <c r="HA15" s="28" t="s">
        <v>76</v>
      </c>
      <c r="HB15" s="28" t="s">
        <v>76</v>
      </c>
      <c r="HC15" s="28" t="s">
        <v>76</v>
      </c>
      <c r="HD15" s="28" t="s">
        <v>13</v>
      </c>
      <c r="HE15" s="28" t="s">
        <v>76</v>
      </c>
      <c r="HF15" s="28" t="s">
        <v>13</v>
      </c>
      <c r="HG15" s="28" t="s">
        <v>41</v>
      </c>
      <c r="HH15" s="28" t="s">
        <v>76</v>
      </c>
      <c r="HI15" s="28" t="s">
        <v>13</v>
      </c>
      <c r="HJ15" s="28" t="s">
        <v>76</v>
      </c>
      <c r="HK15" s="28" t="s">
        <v>13</v>
      </c>
      <c r="HL15" s="28" t="s">
        <v>13</v>
      </c>
      <c r="HM15" s="28" t="s">
        <v>41</v>
      </c>
      <c r="HN15" s="28" t="s">
        <v>13</v>
      </c>
      <c r="HO15" s="28" t="s">
        <v>13</v>
      </c>
      <c r="HP15" s="28" t="s">
        <v>76</v>
      </c>
      <c r="HQ15" s="28" t="s">
        <v>13</v>
      </c>
      <c r="HR15" s="28" t="s">
        <v>13</v>
      </c>
      <c r="HS15" s="28" t="s">
        <v>13</v>
      </c>
      <c r="HT15" s="28" t="s">
        <v>76</v>
      </c>
      <c r="HU15" s="28" t="s">
        <v>76</v>
      </c>
      <c r="HV15" s="28" t="s">
        <v>13</v>
      </c>
      <c r="HW15" s="28" t="s">
        <v>13</v>
      </c>
      <c r="HX15" s="28" t="s">
        <v>13</v>
      </c>
      <c r="HY15" s="28" t="s">
        <v>13</v>
      </c>
      <c r="HZ15" s="28" t="s">
        <v>76</v>
      </c>
      <c r="IA15" s="28" t="s">
        <v>76</v>
      </c>
      <c r="IB15" s="28" t="s">
        <v>13</v>
      </c>
      <c r="IC15" s="28" t="s">
        <v>13</v>
      </c>
      <c r="ID15" s="28" t="s">
        <v>13</v>
      </c>
      <c r="IE15" s="28" t="s">
        <v>76</v>
      </c>
      <c r="IF15" s="28" t="s">
        <v>13</v>
      </c>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c r="KL15" s="28"/>
      <c r="KM15" s="28"/>
      <c r="KN15" s="29"/>
    </row>
    <row r="16">
      <c r="A16" s="26" t="s">
        <v>18</v>
      </c>
      <c r="B16" s="32">
        <v>8.0</v>
      </c>
      <c r="C16" s="32">
        <v>1.0</v>
      </c>
      <c r="D16" s="32">
        <v>16.0</v>
      </c>
      <c r="E16" s="32">
        <v>9.0</v>
      </c>
      <c r="F16" s="32">
        <v>11.0</v>
      </c>
      <c r="G16" s="32">
        <v>3.0</v>
      </c>
      <c r="H16" s="32">
        <v>2.0</v>
      </c>
      <c r="I16" s="32">
        <v>3.0</v>
      </c>
      <c r="J16" s="32">
        <v>2.0</v>
      </c>
      <c r="K16" s="32">
        <v>4.0</v>
      </c>
      <c r="L16" s="32">
        <v>1.0</v>
      </c>
      <c r="M16" s="32">
        <v>10.0</v>
      </c>
      <c r="N16" s="32">
        <v>8.0</v>
      </c>
      <c r="O16" s="32">
        <v>3.0</v>
      </c>
      <c r="P16" s="32">
        <v>1.0</v>
      </c>
      <c r="Q16" s="32">
        <v>1.0</v>
      </c>
      <c r="R16" s="32">
        <v>5.0</v>
      </c>
      <c r="S16" s="32">
        <v>2.0</v>
      </c>
      <c r="T16" s="32">
        <v>4.0</v>
      </c>
      <c r="U16" s="32">
        <v>5.0</v>
      </c>
      <c r="V16" s="32">
        <v>7.0</v>
      </c>
      <c r="W16" s="32">
        <v>1.0</v>
      </c>
      <c r="X16" s="32">
        <v>2.0</v>
      </c>
      <c r="Y16" s="32">
        <v>6.0</v>
      </c>
      <c r="Z16" s="32">
        <v>3.0</v>
      </c>
      <c r="AA16" s="32">
        <v>8.0</v>
      </c>
      <c r="AB16" s="32">
        <v>3.0</v>
      </c>
      <c r="AC16" s="32">
        <v>8.0</v>
      </c>
      <c r="AD16" s="32">
        <v>2.0</v>
      </c>
      <c r="AE16" s="32">
        <v>6.0</v>
      </c>
      <c r="AF16" s="32">
        <v>4.0</v>
      </c>
      <c r="AG16" s="32">
        <v>3.0</v>
      </c>
      <c r="AH16" s="32">
        <v>1.0</v>
      </c>
      <c r="AI16" s="32">
        <v>4.0</v>
      </c>
      <c r="AJ16" s="32">
        <v>10.0</v>
      </c>
      <c r="AK16" s="32">
        <v>5.0</v>
      </c>
      <c r="AL16" s="32">
        <v>6.0</v>
      </c>
      <c r="AM16" s="32">
        <v>3.0</v>
      </c>
      <c r="AN16" s="32">
        <v>9.0</v>
      </c>
      <c r="AO16" s="32">
        <v>5.0</v>
      </c>
      <c r="AP16" s="32">
        <v>4.0</v>
      </c>
      <c r="AQ16" s="32">
        <v>2.0</v>
      </c>
      <c r="AR16" s="32">
        <v>8.0</v>
      </c>
      <c r="AS16" s="32">
        <v>1.0</v>
      </c>
      <c r="AT16" s="32">
        <v>2.0</v>
      </c>
      <c r="AU16" s="32">
        <v>16.0</v>
      </c>
      <c r="AV16" s="32">
        <v>2.0</v>
      </c>
      <c r="AW16" s="32">
        <v>8.0</v>
      </c>
      <c r="AX16" s="32">
        <v>9.0</v>
      </c>
      <c r="AY16" s="32">
        <v>5.0</v>
      </c>
      <c r="AZ16" s="32">
        <v>16.0</v>
      </c>
      <c r="BA16" s="32">
        <v>3.0</v>
      </c>
      <c r="BB16" s="32">
        <v>6.0</v>
      </c>
      <c r="BC16" s="32">
        <v>9.0</v>
      </c>
      <c r="BD16" s="32">
        <v>7.0</v>
      </c>
      <c r="BE16" s="32">
        <v>2.0</v>
      </c>
      <c r="BF16" s="32">
        <v>12.0</v>
      </c>
      <c r="BG16" s="32">
        <v>6.0</v>
      </c>
      <c r="BH16" s="32">
        <v>4.0</v>
      </c>
      <c r="BI16" s="32">
        <v>7.0</v>
      </c>
      <c r="BJ16" s="32">
        <v>9.0</v>
      </c>
      <c r="BK16" s="32">
        <v>2.0</v>
      </c>
      <c r="BL16" s="32">
        <v>10.0</v>
      </c>
      <c r="BM16" s="32">
        <v>4.0</v>
      </c>
      <c r="BN16" s="32">
        <v>13.0</v>
      </c>
      <c r="BO16" s="32">
        <v>17.0</v>
      </c>
      <c r="BP16" s="32">
        <v>12.0</v>
      </c>
      <c r="BQ16" s="32">
        <v>14.0</v>
      </c>
      <c r="BR16" s="32">
        <v>16.0</v>
      </c>
      <c r="BS16" s="32">
        <v>12.0</v>
      </c>
      <c r="BT16" s="32">
        <v>2.0</v>
      </c>
      <c r="BU16" s="32">
        <v>6.0</v>
      </c>
      <c r="BV16" s="32">
        <v>6.0</v>
      </c>
      <c r="BW16" s="32">
        <v>7.0</v>
      </c>
      <c r="BX16" s="32">
        <v>4.0</v>
      </c>
      <c r="BY16" s="32">
        <v>2.0</v>
      </c>
      <c r="BZ16" s="32">
        <v>2.0</v>
      </c>
      <c r="CA16" s="32">
        <v>9.0</v>
      </c>
      <c r="CB16" s="32" t="s">
        <v>396</v>
      </c>
      <c r="CC16" s="32" t="s">
        <v>396</v>
      </c>
      <c r="CD16" s="32" t="s">
        <v>396</v>
      </c>
      <c r="CE16" s="32" t="s">
        <v>396</v>
      </c>
      <c r="CF16" s="32">
        <v>7.0</v>
      </c>
      <c r="CG16" s="32">
        <v>2.0</v>
      </c>
      <c r="CH16" s="32">
        <v>3.0</v>
      </c>
      <c r="CI16" s="32">
        <v>1.0</v>
      </c>
      <c r="CJ16" s="32">
        <v>2.0</v>
      </c>
      <c r="CK16" s="32">
        <v>4.0</v>
      </c>
      <c r="CL16" s="32">
        <v>5.0</v>
      </c>
      <c r="CM16" s="32">
        <v>4.0</v>
      </c>
      <c r="CN16" s="32">
        <v>6.0</v>
      </c>
      <c r="CO16" s="32">
        <v>2.0</v>
      </c>
      <c r="CP16" s="32">
        <v>10.0</v>
      </c>
      <c r="CQ16" s="32">
        <v>9.0</v>
      </c>
      <c r="CR16" s="32">
        <v>9.0</v>
      </c>
      <c r="CS16" s="32">
        <v>8.0</v>
      </c>
      <c r="CT16" s="32">
        <v>7.0</v>
      </c>
      <c r="CU16" s="32">
        <v>8.0</v>
      </c>
      <c r="CV16" s="32">
        <v>12.0</v>
      </c>
      <c r="CW16" s="32">
        <v>4.0</v>
      </c>
      <c r="CX16" s="32">
        <v>3.0</v>
      </c>
      <c r="CY16" s="32">
        <v>2.0</v>
      </c>
      <c r="CZ16" s="32">
        <v>3.0</v>
      </c>
      <c r="DA16" s="32">
        <v>1.0</v>
      </c>
      <c r="DB16" s="32">
        <v>4.0</v>
      </c>
      <c r="DC16" s="32">
        <v>4.0</v>
      </c>
      <c r="DD16" s="32">
        <v>8.0</v>
      </c>
      <c r="DE16" s="32">
        <v>7.0</v>
      </c>
      <c r="DF16" s="32">
        <v>10.0</v>
      </c>
      <c r="DG16" s="32">
        <v>8.0</v>
      </c>
      <c r="DH16" s="32">
        <v>7.0</v>
      </c>
      <c r="DI16" s="32">
        <v>4.0</v>
      </c>
      <c r="DJ16" s="32">
        <v>2.0</v>
      </c>
      <c r="DK16" s="32">
        <v>4.0</v>
      </c>
      <c r="DL16" s="32">
        <v>4.0</v>
      </c>
      <c r="DM16" s="32">
        <v>9.0</v>
      </c>
      <c r="DN16" s="32">
        <v>1.0</v>
      </c>
      <c r="DO16" s="32">
        <v>8.0</v>
      </c>
      <c r="DP16" s="32">
        <v>6.0</v>
      </c>
      <c r="DQ16" s="32">
        <v>6.0</v>
      </c>
      <c r="DR16" s="32">
        <v>3.0</v>
      </c>
      <c r="DS16" s="32">
        <v>4.0</v>
      </c>
      <c r="DT16" s="32">
        <v>3.0</v>
      </c>
      <c r="DU16" s="32">
        <v>5.0</v>
      </c>
      <c r="DV16" s="32">
        <v>2.0</v>
      </c>
      <c r="DW16" s="32">
        <v>2.0</v>
      </c>
      <c r="DX16" s="32" t="s">
        <v>396</v>
      </c>
      <c r="DY16" s="32">
        <v>6.0</v>
      </c>
      <c r="DZ16" s="32">
        <v>0.0</v>
      </c>
      <c r="EA16" s="32">
        <v>3.0</v>
      </c>
      <c r="EB16" s="32">
        <v>0.0</v>
      </c>
      <c r="EC16" s="32">
        <v>3.0</v>
      </c>
      <c r="ED16" s="32">
        <v>17.0</v>
      </c>
      <c r="EE16" s="32">
        <v>2.0</v>
      </c>
      <c r="EF16" s="32">
        <v>4.0</v>
      </c>
      <c r="EG16" s="32">
        <v>13.0</v>
      </c>
      <c r="EH16" s="32">
        <v>3.0</v>
      </c>
      <c r="EI16" s="32">
        <v>2.0</v>
      </c>
      <c r="EJ16" s="32">
        <v>6.0</v>
      </c>
      <c r="EK16" s="32">
        <v>9.0</v>
      </c>
      <c r="EL16" s="32">
        <v>8.0</v>
      </c>
      <c r="EM16" s="32">
        <v>6.0</v>
      </c>
      <c r="EN16" s="32">
        <v>1.0</v>
      </c>
      <c r="EO16" s="32">
        <v>8.0</v>
      </c>
      <c r="EP16" s="32">
        <v>2.0</v>
      </c>
      <c r="EQ16" s="32">
        <v>5.0</v>
      </c>
      <c r="ER16" s="32">
        <v>7.0</v>
      </c>
      <c r="ES16" s="32">
        <v>4.0</v>
      </c>
      <c r="ET16" s="32">
        <v>19.0</v>
      </c>
      <c r="EU16" s="32">
        <v>10.0</v>
      </c>
      <c r="EV16" s="32">
        <v>3.0</v>
      </c>
      <c r="EW16" s="32">
        <v>9.0</v>
      </c>
      <c r="EX16" s="32">
        <v>6.0</v>
      </c>
      <c r="EY16" s="32">
        <v>6.0</v>
      </c>
      <c r="EZ16" s="32">
        <v>16.0</v>
      </c>
      <c r="FA16" s="32">
        <v>4.0</v>
      </c>
      <c r="FB16" s="32">
        <v>5.0</v>
      </c>
      <c r="FC16" s="32">
        <v>6.0</v>
      </c>
      <c r="FD16" s="32">
        <v>7.0</v>
      </c>
      <c r="FE16" s="32">
        <v>1.0</v>
      </c>
      <c r="FF16" s="32">
        <v>4.0</v>
      </c>
      <c r="FG16" s="32">
        <v>7.0</v>
      </c>
      <c r="FH16" s="32">
        <v>6.0</v>
      </c>
      <c r="FI16" s="32">
        <v>9.0</v>
      </c>
      <c r="FJ16" s="32">
        <v>7.0</v>
      </c>
      <c r="FK16" s="32">
        <v>5.0</v>
      </c>
      <c r="FL16" s="32">
        <v>6.0</v>
      </c>
      <c r="FM16" s="32">
        <v>3.0</v>
      </c>
      <c r="FN16" s="32">
        <v>1.0</v>
      </c>
      <c r="FO16" s="32">
        <v>3.0</v>
      </c>
      <c r="FP16" s="32">
        <v>13.0</v>
      </c>
      <c r="FQ16" s="32">
        <v>3.0</v>
      </c>
      <c r="FR16" s="32">
        <v>1.0</v>
      </c>
      <c r="FS16" s="32">
        <v>5.0</v>
      </c>
      <c r="FT16" s="32">
        <v>12.0</v>
      </c>
      <c r="FU16" s="32">
        <v>8.0</v>
      </c>
      <c r="FV16" s="32">
        <v>0.0</v>
      </c>
      <c r="FW16" s="32">
        <v>2.0</v>
      </c>
      <c r="FX16" s="32">
        <v>1.0</v>
      </c>
      <c r="FY16" s="32">
        <v>6.0</v>
      </c>
      <c r="FZ16" s="32">
        <v>19.0</v>
      </c>
      <c r="GA16" s="32">
        <v>6.0</v>
      </c>
      <c r="GB16" s="32">
        <v>10.0</v>
      </c>
      <c r="GC16" s="32">
        <v>5.0</v>
      </c>
      <c r="GD16" s="32">
        <v>15.0</v>
      </c>
      <c r="GE16" s="32">
        <v>6.0</v>
      </c>
      <c r="GF16" s="32">
        <v>2.0</v>
      </c>
      <c r="GG16" s="32">
        <v>4.0</v>
      </c>
      <c r="GH16" s="32">
        <v>2.0</v>
      </c>
      <c r="GI16" s="32">
        <v>5.0</v>
      </c>
      <c r="GJ16" s="32">
        <v>3.0</v>
      </c>
      <c r="GK16" s="32">
        <v>3.0</v>
      </c>
      <c r="GL16" s="32">
        <v>0.0</v>
      </c>
      <c r="GM16" s="32">
        <v>3.0</v>
      </c>
      <c r="GN16" s="32">
        <v>3.0</v>
      </c>
      <c r="GO16" s="32">
        <v>4.0</v>
      </c>
      <c r="GP16" s="32">
        <v>3.0</v>
      </c>
      <c r="GQ16" s="32">
        <v>8.0</v>
      </c>
      <c r="GR16" s="32">
        <v>4.0</v>
      </c>
      <c r="GS16" s="32">
        <v>2.0</v>
      </c>
      <c r="GT16" s="32">
        <v>3.0</v>
      </c>
      <c r="GU16" s="32">
        <v>1.0</v>
      </c>
      <c r="GV16" s="32">
        <v>5.0</v>
      </c>
      <c r="GW16" s="32">
        <v>4.0</v>
      </c>
      <c r="GX16" s="32">
        <v>2.0</v>
      </c>
      <c r="GY16" s="32">
        <v>9.0</v>
      </c>
      <c r="GZ16" s="32">
        <v>0.0</v>
      </c>
      <c r="HA16" s="32">
        <v>3.0</v>
      </c>
      <c r="HB16" s="32">
        <v>2.0</v>
      </c>
      <c r="HC16" s="32">
        <v>1.0</v>
      </c>
      <c r="HD16" s="32">
        <v>3.0</v>
      </c>
      <c r="HE16" s="32">
        <v>30.0</v>
      </c>
      <c r="HF16" s="32">
        <v>18.0</v>
      </c>
      <c r="HG16" s="32">
        <v>15.0</v>
      </c>
      <c r="HH16" s="32">
        <v>3.0</v>
      </c>
      <c r="HI16" s="32">
        <v>1.0</v>
      </c>
      <c r="HJ16" s="32">
        <v>8.0</v>
      </c>
      <c r="HK16" s="32">
        <v>5.0</v>
      </c>
      <c r="HL16" s="32">
        <v>7.0</v>
      </c>
      <c r="HM16" s="32">
        <v>4.0</v>
      </c>
      <c r="HN16" s="32">
        <v>11.0</v>
      </c>
      <c r="HO16" s="32">
        <v>5.0</v>
      </c>
      <c r="HP16" s="32">
        <v>2.0</v>
      </c>
      <c r="HQ16" s="32">
        <v>3.0</v>
      </c>
      <c r="HR16" s="32">
        <v>6.0</v>
      </c>
      <c r="HS16" s="32">
        <v>8.0</v>
      </c>
      <c r="HT16" s="32">
        <v>1.0</v>
      </c>
      <c r="HU16" s="32">
        <v>2.0</v>
      </c>
      <c r="HV16" s="32">
        <v>3.0</v>
      </c>
      <c r="HW16" s="32">
        <v>4.0</v>
      </c>
      <c r="HX16" s="32">
        <v>3.0</v>
      </c>
      <c r="HY16" s="32">
        <v>2.0</v>
      </c>
      <c r="HZ16" s="32">
        <v>2.0</v>
      </c>
      <c r="IA16" s="32">
        <v>4.0</v>
      </c>
      <c r="IB16" s="32">
        <v>5.0</v>
      </c>
      <c r="IC16" s="32">
        <v>3.0</v>
      </c>
      <c r="ID16" s="32">
        <v>8.0</v>
      </c>
      <c r="IE16" s="32">
        <v>8.0</v>
      </c>
      <c r="IF16" s="32">
        <v>2.0</v>
      </c>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c r="KL16" s="28"/>
      <c r="KM16" s="28"/>
      <c r="KN16" s="29"/>
    </row>
    <row r="17">
      <c r="A17" s="26" t="s">
        <v>19</v>
      </c>
      <c r="B17" s="28" t="s">
        <v>34</v>
      </c>
      <c r="C17" s="28" t="s">
        <v>42</v>
      </c>
      <c r="D17" s="28" t="s">
        <v>49</v>
      </c>
      <c r="E17" s="28" t="s">
        <v>56</v>
      </c>
      <c r="F17" s="28" t="s">
        <v>61</v>
      </c>
      <c r="G17" s="28" t="s">
        <v>67</v>
      </c>
      <c r="H17" s="28" t="s">
        <v>71</v>
      </c>
      <c r="I17" s="28"/>
      <c r="J17" s="28"/>
      <c r="K17" s="28" t="s">
        <v>84</v>
      </c>
      <c r="L17" s="28" t="s">
        <v>88</v>
      </c>
      <c r="M17" s="28" t="s">
        <v>93</v>
      </c>
      <c r="N17" s="28" t="s">
        <v>102</v>
      </c>
      <c r="O17" s="28" t="s">
        <v>106</v>
      </c>
      <c r="P17" s="28" t="s">
        <v>110</v>
      </c>
      <c r="Q17" s="28" t="s">
        <v>114</v>
      </c>
      <c r="R17" s="28" t="s">
        <v>118</v>
      </c>
      <c r="S17" s="28"/>
      <c r="T17" s="28"/>
      <c r="U17" s="28" t="s">
        <v>128</v>
      </c>
      <c r="V17" s="28" t="s">
        <v>128</v>
      </c>
      <c r="W17" s="28" t="s">
        <v>136</v>
      </c>
      <c r="X17" s="28" t="s">
        <v>110</v>
      </c>
      <c r="Y17" s="28" t="s">
        <v>143</v>
      </c>
      <c r="Z17" s="28" t="s">
        <v>148</v>
      </c>
      <c r="AA17" s="28" t="s">
        <v>152</v>
      </c>
      <c r="AB17" s="28" t="s">
        <v>159</v>
      </c>
      <c r="AC17" s="28" t="s">
        <v>163</v>
      </c>
      <c r="AD17" s="28"/>
      <c r="AE17" s="28" t="s">
        <v>171</v>
      </c>
      <c r="AF17" s="28" t="s">
        <v>175</v>
      </c>
      <c r="AG17" s="28"/>
      <c r="AH17" s="28" t="s">
        <v>182</v>
      </c>
      <c r="AI17" s="28" t="s">
        <v>182</v>
      </c>
      <c r="AJ17" s="28" t="s">
        <v>189</v>
      </c>
      <c r="AK17" s="28" t="s">
        <v>193</v>
      </c>
      <c r="AL17" s="28" t="s">
        <v>197</v>
      </c>
      <c r="AM17" s="28" t="s">
        <v>202</v>
      </c>
      <c r="AN17" s="28" t="s">
        <v>206</v>
      </c>
      <c r="AO17" s="28" t="s">
        <v>212</v>
      </c>
      <c r="AP17" s="28"/>
      <c r="AQ17" s="28" t="s">
        <v>220</v>
      </c>
      <c r="AR17" s="28"/>
      <c r="AS17" s="28" t="s">
        <v>229</v>
      </c>
      <c r="AT17" s="28" t="s">
        <v>233</v>
      </c>
      <c r="AU17" s="28" t="s">
        <v>237</v>
      </c>
      <c r="AV17" s="28" t="s">
        <v>243</v>
      </c>
      <c r="AW17" s="28" t="s">
        <v>247</v>
      </c>
      <c r="AX17" s="28" t="s">
        <v>251</v>
      </c>
      <c r="AY17" s="28" t="s">
        <v>255</v>
      </c>
      <c r="AZ17" s="28" t="s">
        <v>237</v>
      </c>
      <c r="BA17" s="28" t="s">
        <v>266</v>
      </c>
      <c r="BB17" s="28" t="s">
        <v>270</v>
      </c>
      <c r="BC17" s="28" t="s">
        <v>277</v>
      </c>
      <c r="BD17" s="28" t="s">
        <v>281</v>
      </c>
      <c r="BE17" s="28" t="s">
        <v>106</v>
      </c>
      <c r="BF17" s="28"/>
      <c r="BG17" s="28"/>
      <c r="BH17" s="28" t="s">
        <v>297</v>
      </c>
      <c r="BI17" s="28" t="s">
        <v>301</v>
      </c>
      <c r="BJ17" s="28"/>
      <c r="BK17" s="28" t="s">
        <v>308</v>
      </c>
      <c r="BL17" s="28" t="s">
        <v>312</v>
      </c>
      <c r="BM17" s="28" t="s">
        <v>270</v>
      </c>
      <c r="BN17" s="28" t="s">
        <v>322</v>
      </c>
      <c r="BO17" s="28" t="s">
        <v>328</v>
      </c>
      <c r="BP17" s="28" t="s">
        <v>333</v>
      </c>
      <c r="BQ17" s="28" t="s">
        <v>338</v>
      </c>
      <c r="BR17" s="28" t="s">
        <v>344</v>
      </c>
      <c r="BS17" s="28" t="s">
        <v>350</v>
      </c>
      <c r="BT17" s="28" t="s">
        <v>354</v>
      </c>
      <c r="BU17" s="28" t="s">
        <v>358</v>
      </c>
      <c r="BV17" s="28" t="s">
        <v>358</v>
      </c>
      <c r="BW17" s="28" t="s">
        <v>368</v>
      </c>
      <c r="BX17" s="28" t="s">
        <v>376</v>
      </c>
      <c r="BY17" s="28" t="s">
        <v>382</v>
      </c>
      <c r="BZ17" s="28" t="s">
        <v>387</v>
      </c>
      <c r="CA17" s="28" t="s">
        <v>391</v>
      </c>
      <c r="CB17" s="28" t="s">
        <v>312</v>
      </c>
      <c r="CC17" s="28" t="s">
        <v>312</v>
      </c>
      <c r="CD17" s="28" t="s">
        <v>391</v>
      </c>
      <c r="CE17" s="28" t="s">
        <v>312</v>
      </c>
      <c r="CF17" s="28" t="s">
        <v>414</v>
      </c>
      <c r="CG17" s="28" t="s">
        <v>418</v>
      </c>
      <c r="CH17" s="28" t="s">
        <v>422</v>
      </c>
      <c r="CI17" s="28" t="s">
        <v>426</v>
      </c>
      <c r="CJ17" s="28" t="s">
        <v>430</v>
      </c>
      <c r="CK17" s="28" t="s">
        <v>312</v>
      </c>
      <c r="CL17" s="28" t="s">
        <v>438</v>
      </c>
      <c r="CM17" s="28" t="s">
        <v>444</v>
      </c>
      <c r="CN17" s="28" t="s">
        <v>450</v>
      </c>
      <c r="CO17" s="28" t="s">
        <v>444</v>
      </c>
      <c r="CP17" s="28" t="s">
        <v>459</v>
      </c>
      <c r="CQ17" s="28" t="s">
        <v>328</v>
      </c>
      <c r="CR17" s="28" t="s">
        <v>338</v>
      </c>
      <c r="CS17" s="28"/>
      <c r="CT17" s="28"/>
      <c r="CU17" s="28" t="s">
        <v>475</v>
      </c>
      <c r="CV17" s="28" t="s">
        <v>322</v>
      </c>
      <c r="CW17" s="28" t="s">
        <v>484</v>
      </c>
      <c r="CX17" s="28"/>
      <c r="CY17" s="28" t="s">
        <v>110</v>
      </c>
      <c r="CZ17" s="28" t="s">
        <v>497</v>
      </c>
      <c r="DA17" s="28" t="s">
        <v>501</v>
      </c>
      <c r="DB17" s="28" t="s">
        <v>501</v>
      </c>
      <c r="DC17" s="28" t="s">
        <v>501</v>
      </c>
      <c r="DD17" s="28" t="s">
        <v>514</v>
      </c>
      <c r="DE17" s="28" t="s">
        <v>518</v>
      </c>
      <c r="DF17" s="28" t="s">
        <v>523</v>
      </c>
      <c r="DG17" s="28" t="s">
        <v>528</v>
      </c>
      <c r="DH17" s="28" t="s">
        <v>533</v>
      </c>
      <c r="DI17" s="28"/>
      <c r="DJ17" s="28" t="s">
        <v>541</v>
      </c>
      <c r="DK17" s="28" t="s">
        <v>546</v>
      </c>
      <c r="DL17" s="28"/>
      <c r="DM17" s="28" t="s">
        <v>554</v>
      </c>
      <c r="DN17" s="28"/>
      <c r="DO17" s="28" t="s">
        <v>561</v>
      </c>
      <c r="DP17" s="28" t="s">
        <v>562</v>
      </c>
      <c r="DQ17" s="28" t="s">
        <v>569</v>
      </c>
      <c r="DR17" s="28" t="s">
        <v>573</v>
      </c>
      <c r="DS17" s="28" t="s">
        <v>577</v>
      </c>
      <c r="DT17" s="28"/>
      <c r="DU17" s="28" t="s">
        <v>585</v>
      </c>
      <c r="DV17" s="28" t="s">
        <v>589</v>
      </c>
      <c r="DW17" s="28"/>
      <c r="DX17" s="28" t="s">
        <v>596</v>
      </c>
      <c r="DY17" s="28" t="s">
        <v>600</v>
      </c>
      <c r="DZ17" s="28" t="s">
        <v>607</v>
      </c>
      <c r="EA17" s="28" t="s">
        <v>611</v>
      </c>
      <c r="EB17" s="28" t="s">
        <v>615</v>
      </c>
      <c r="EC17" s="28" t="s">
        <v>615</v>
      </c>
      <c r="ED17" s="28" t="s">
        <v>624</v>
      </c>
      <c r="EE17" s="28" t="s">
        <v>631</v>
      </c>
      <c r="EF17" s="28" t="s">
        <v>635</v>
      </c>
      <c r="EG17" s="28" t="s">
        <v>643</v>
      </c>
      <c r="EH17" s="28"/>
      <c r="EI17" s="28"/>
      <c r="EJ17" s="28" t="s">
        <v>660</v>
      </c>
      <c r="EK17" s="28" t="s">
        <v>84</v>
      </c>
      <c r="EL17" s="28" t="s">
        <v>671</v>
      </c>
      <c r="EM17" s="28" t="s">
        <v>675</v>
      </c>
      <c r="EN17" s="28"/>
      <c r="EO17" s="28" t="s">
        <v>682</v>
      </c>
      <c r="EP17" s="28"/>
      <c r="EQ17" s="28" t="s">
        <v>691</v>
      </c>
      <c r="ER17" s="28" t="s">
        <v>695</v>
      </c>
      <c r="ES17" s="28"/>
      <c r="ET17" s="28" t="s">
        <v>702</v>
      </c>
      <c r="EU17" s="28" t="s">
        <v>643</v>
      </c>
      <c r="EV17" s="28" t="s">
        <v>233</v>
      </c>
      <c r="EW17" s="28" t="s">
        <v>358</v>
      </c>
      <c r="EX17" s="28" t="s">
        <v>450</v>
      </c>
      <c r="EY17" s="28" t="s">
        <v>734</v>
      </c>
      <c r="EZ17" s="28" t="s">
        <v>739</v>
      </c>
      <c r="FA17" s="28" t="s">
        <v>750</v>
      </c>
      <c r="FB17" s="28" t="s">
        <v>757</v>
      </c>
      <c r="FC17" s="28"/>
      <c r="FD17" s="28" t="s">
        <v>770</v>
      </c>
      <c r="FE17" s="28" t="s">
        <v>110</v>
      </c>
      <c r="FF17" s="28" t="s">
        <v>110</v>
      </c>
      <c r="FG17" s="28" t="s">
        <v>783</v>
      </c>
      <c r="FH17" s="28" t="s">
        <v>787</v>
      </c>
      <c r="FI17" s="28" t="s">
        <v>792</v>
      </c>
      <c r="FJ17" s="28" t="s">
        <v>792</v>
      </c>
      <c r="FK17" s="28" t="s">
        <v>792</v>
      </c>
      <c r="FL17" s="28" t="s">
        <v>128</v>
      </c>
      <c r="FM17" s="28"/>
      <c r="FN17" s="28"/>
      <c r="FO17" s="28"/>
      <c r="FP17" s="28" t="s">
        <v>821</v>
      </c>
      <c r="FQ17" s="28" t="s">
        <v>828</v>
      </c>
      <c r="FR17" s="28"/>
      <c r="FS17" s="28" t="s">
        <v>835</v>
      </c>
      <c r="FT17" s="28" t="s">
        <v>684</v>
      </c>
      <c r="FU17" s="28" t="s">
        <v>847</v>
      </c>
      <c r="FV17" s="28" t="s">
        <v>853</v>
      </c>
      <c r="FW17" s="28" t="s">
        <v>857</v>
      </c>
      <c r="FX17" s="28" t="s">
        <v>857</v>
      </c>
      <c r="FY17" s="28" t="s">
        <v>853</v>
      </c>
      <c r="FZ17" s="28" t="s">
        <v>867</v>
      </c>
      <c r="GA17" s="28" t="s">
        <v>878</v>
      </c>
      <c r="GB17" s="28" t="s">
        <v>882</v>
      </c>
      <c r="GC17" s="28" t="s">
        <v>301</v>
      </c>
      <c r="GD17" s="28" t="s">
        <v>891</v>
      </c>
      <c r="GE17" s="28" t="s">
        <v>896</v>
      </c>
      <c r="GF17" s="28" t="s">
        <v>904</v>
      </c>
      <c r="GG17" s="28" t="s">
        <v>907</v>
      </c>
      <c r="GH17" s="28" t="s">
        <v>911</v>
      </c>
      <c r="GI17" s="28" t="s">
        <v>915</v>
      </c>
      <c r="GJ17" s="28"/>
      <c r="GK17" s="28" t="s">
        <v>922</v>
      </c>
      <c r="GL17" s="28" t="s">
        <v>926</v>
      </c>
      <c r="GM17" s="28" t="s">
        <v>930</v>
      </c>
      <c r="GN17" s="28" t="s">
        <v>934</v>
      </c>
      <c r="GO17" s="28" t="s">
        <v>939</v>
      </c>
      <c r="GP17" s="28"/>
      <c r="GQ17" s="28" t="s">
        <v>220</v>
      </c>
      <c r="GR17" s="28" t="s">
        <v>955</v>
      </c>
      <c r="GS17" s="28" t="s">
        <v>444</v>
      </c>
      <c r="GT17" s="28"/>
      <c r="GU17" s="28" t="s">
        <v>967</v>
      </c>
      <c r="GV17" s="28" t="s">
        <v>971</v>
      </c>
      <c r="GW17" s="28" t="s">
        <v>975</v>
      </c>
      <c r="GX17" s="28"/>
      <c r="GY17" s="28" t="s">
        <v>982</v>
      </c>
      <c r="GZ17" s="28" t="s">
        <v>990</v>
      </c>
      <c r="HA17" s="28" t="s">
        <v>994</v>
      </c>
      <c r="HB17" s="28" t="s">
        <v>182</v>
      </c>
      <c r="HC17" s="28" t="s">
        <v>1000</v>
      </c>
      <c r="HD17" s="28" t="s">
        <v>1004</v>
      </c>
      <c r="HE17" s="28" t="s">
        <v>1010</v>
      </c>
      <c r="HF17" s="28" t="s">
        <v>1021</v>
      </c>
      <c r="HG17" s="28" t="s">
        <v>1027</v>
      </c>
      <c r="HH17" s="28" t="s">
        <v>1039</v>
      </c>
      <c r="HI17" s="28"/>
      <c r="HJ17" s="28" t="s">
        <v>1048</v>
      </c>
      <c r="HK17" s="28" t="s">
        <v>1053</v>
      </c>
      <c r="HL17" s="28" t="s">
        <v>1057</v>
      </c>
      <c r="HM17" s="28" t="s">
        <v>1061</v>
      </c>
      <c r="HN17" s="28" t="s">
        <v>643</v>
      </c>
      <c r="HO17" s="28" t="s">
        <v>450</v>
      </c>
      <c r="HP17" s="28"/>
      <c r="HQ17" s="28"/>
      <c r="HR17" s="28" t="s">
        <v>1083</v>
      </c>
      <c r="HS17" s="28" t="s">
        <v>1087</v>
      </c>
      <c r="HT17" s="28" t="s">
        <v>1094</v>
      </c>
      <c r="HU17" s="28" t="s">
        <v>1098</v>
      </c>
      <c r="HV17" s="28" t="s">
        <v>1101</v>
      </c>
      <c r="HW17" s="28" t="s">
        <v>1101</v>
      </c>
      <c r="HX17" s="28" t="s">
        <v>450</v>
      </c>
      <c r="HY17" s="28" t="s">
        <v>451</v>
      </c>
      <c r="HZ17" s="28" t="s">
        <v>1114</v>
      </c>
      <c r="IA17" s="28" t="s">
        <v>1118</v>
      </c>
      <c r="IB17" s="28" t="s">
        <v>1122</v>
      </c>
      <c r="IC17" s="28"/>
      <c r="ID17" s="28" t="s">
        <v>450</v>
      </c>
      <c r="IE17" s="28" t="s">
        <v>1134</v>
      </c>
      <c r="IF17" s="28" t="s">
        <v>444</v>
      </c>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c r="JX17" s="28"/>
      <c r="JY17" s="28"/>
      <c r="JZ17" s="28"/>
      <c r="KA17" s="28"/>
      <c r="KB17" s="28"/>
      <c r="KC17" s="28"/>
      <c r="KD17" s="28"/>
      <c r="KE17" s="28"/>
      <c r="KF17" s="28"/>
      <c r="KG17" s="28"/>
      <c r="KH17" s="28"/>
      <c r="KI17" s="28"/>
      <c r="KJ17" s="28"/>
      <c r="KK17" s="28"/>
      <c r="KL17" s="28"/>
      <c r="KM17" s="28"/>
      <c r="KN17" s="29"/>
    </row>
    <row r="18">
      <c r="A18" s="26" t="s">
        <v>20</v>
      </c>
      <c r="B18" s="28" t="s">
        <v>35</v>
      </c>
      <c r="C18" s="28"/>
      <c r="D18" s="28" t="s">
        <v>50</v>
      </c>
      <c r="E18" s="28"/>
      <c r="F18" s="28" t="s">
        <v>62</v>
      </c>
      <c r="G18" s="28"/>
      <c r="H18" s="28"/>
      <c r="I18" s="28"/>
      <c r="J18" s="28"/>
      <c r="K18" s="28"/>
      <c r="L18" s="28" t="s">
        <v>89</v>
      </c>
      <c r="M18" s="28" t="s">
        <v>94</v>
      </c>
      <c r="N18" s="28"/>
      <c r="O18" s="28"/>
      <c r="P18" s="28"/>
      <c r="Q18" s="28"/>
      <c r="R18" s="28"/>
      <c r="S18" s="28"/>
      <c r="T18" s="28"/>
      <c r="U18" s="28"/>
      <c r="V18" s="28" t="s">
        <v>84</v>
      </c>
      <c r="W18" s="28"/>
      <c r="X18" s="28"/>
      <c r="Y18" s="28" t="s">
        <v>144</v>
      </c>
      <c r="Z18" s="28"/>
      <c r="AA18" s="28" t="s">
        <v>153</v>
      </c>
      <c r="AB18" s="28"/>
      <c r="AC18" s="28"/>
      <c r="AD18" s="28"/>
      <c r="AE18" s="28"/>
      <c r="AF18" s="28"/>
      <c r="AG18" s="28"/>
      <c r="AH18" s="28"/>
      <c r="AI18" s="28"/>
      <c r="AJ18" s="28"/>
      <c r="AK18" s="28"/>
      <c r="AL18" s="28" t="s">
        <v>198</v>
      </c>
      <c r="AM18" s="28"/>
      <c r="AN18" s="28" t="s">
        <v>207</v>
      </c>
      <c r="AO18" s="28"/>
      <c r="AP18" s="28"/>
      <c r="AQ18" s="28" t="s">
        <v>221</v>
      </c>
      <c r="AR18" s="28"/>
      <c r="AS18" s="28"/>
      <c r="AT18" s="28"/>
      <c r="AU18" s="28" t="s">
        <v>238</v>
      </c>
      <c r="AV18" s="28"/>
      <c r="AW18" s="28"/>
      <c r="AX18" s="28"/>
      <c r="AY18" s="28" t="s">
        <v>256</v>
      </c>
      <c r="AZ18" s="28" t="s">
        <v>261</v>
      </c>
      <c r="BA18" s="28"/>
      <c r="BB18" s="28" t="s">
        <v>271</v>
      </c>
      <c r="BC18" s="28"/>
      <c r="BD18" s="28"/>
      <c r="BE18" s="28" t="s">
        <v>285</v>
      </c>
      <c r="BF18" s="28"/>
      <c r="BG18" s="28"/>
      <c r="BH18" s="28"/>
      <c r="BI18" s="28"/>
      <c r="BJ18" s="28"/>
      <c r="BK18" s="28"/>
      <c r="BL18" s="28" t="s">
        <v>313</v>
      </c>
      <c r="BM18" s="28" t="s">
        <v>318</v>
      </c>
      <c r="BN18" s="28" t="s">
        <v>323</v>
      </c>
      <c r="BO18" s="28" t="s">
        <v>329</v>
      </c>
      <c r="BP18" s="28" t="s">
        <v>334</v>
      </c>
      <c r="BQ18" s="28" t="s">
        <v>339</v>
      </c>
      <c r="BR18" s="28" t="s">
        <v>345</v>
      </c>
      <c r="BS18" s="28"/>
      <c r="BT18" s="28" t="s">
        <v>233</v>
      </c>
      <c r="BU18" s="28" t="s">
        <v>233</v>
      </c>
      <c r="BV18" s="28" t="s">
        <v>233</v>
      </c>
      <c r="BW18" s="28" t="s">
        <v>369</v>
      </c>
      <c r="BX18" s="28" t="s">
        <v>377</v>
      </c>
      <c r="BY18" s="28" t="s">
        <v>383</v>
      </c>
      <c r="BZ18" s="28"/>
      <c r="CA18" s="28" t="s">
        <v>392</v>
      </c>
      <c r="CB18" s="28" t="s">
        <v>398</v>
      </c>
      <c r="CC18" s="28" t="s">
        <v>402</v>
      </c>
      <c r="CD18" s="28" t="s">
        <v>406</v>
      </c>
      <c r="CE18" s="28" t="s">
        <v>410</v>
      </c>
      <c r="CF18" s="28"/>
      <c r="CG18" s="28"/>
      <c r="CH18" s="28"/>
      <c r="CI18" s="28"/>
      <c r="CJ18" s="28"/>
      <c r="CK18" s="28"/>
      <c r="CL18" s="28" t="s">
        <v>439</v>
      </c>
      <c r="CM18" s="28" t="s">
        <v>445</v>
      </c>
      <c r="CN18" s="28" t="s">
        <v>451</v>
      </c>
      <c r="CO18" s="28" t="s">
        <v>446</v>
      </c>
      <c r="CP18" s="28"/>
      <c r="CQ18" s="28"/>
      <c r="CR18" s="28"/>
      <c r="CS18" s="28"/>
      <c r="CT18" s="28"/>
      <c r="CU18" s="28"/>
      <c r="CV18" s="28" t="s">
        <v>479</v>
      </c>
      <c r="CW18" s="28" t="s">
        <v>485</v>
      </c>
      <c r="CX18" s="28"/>
      <c r="CY18" s="28"/>
      <c r="CZ18" s="28"/>
      <c r="DA18" s="28"/>
      <c r="DB18" s="28"/>
      <c r="DC18" s="28" t="s">
        <v>508</v>
      </c>
      <c r="DD18" s="28" t="s">
        <v>515</v>
      </c>
      <c r="DE18" s="28" t="s">
        <v>519</v>
      </c>
      <c r="DF18" s="28" t="s">
        <v>524</v>
      </c>
      <c r="DG18" s="28" t="s">
        <v>529</v>
      </c>
      <c r="DH18" s="28" t="s">
        <v>534</v>
      </c>
      <c r="DI18" s="28"/>
      <c r="DJ18" s="28" t="s">
        <v>542</v>
      </c>
      <c r="DK18" s="28" t="s">
        <v>547</v>
      </c>
      <c r="DL18" s="28"/>
      <c r="DM18" s="28"/>
      <c r="DN18" s="28"/>
      <c r="DO18" s="28" t="s">
        <v>562</v>
      </c>
      <c r="DP18" s="28" t="s">
        <v>565</v>
      </c>
      <c r="DQ18" s="28" t="s">
        <v>562</v>
      </c>
      <c r="DR18" s="28"/>
      <c r="DS18" s="28" t="s">
        <v>578</v>
      </c>
      <c r="DT18" s="28"/>
      <c r="DU18" s="28"/>
      <c r="DV18" s="28"/>
      <c r="DW18" s="28"/>
      <c r="DX18" s="28"/>
      <c r="DY18" s="28" t="s">
        <v>601</v>
      </c>
      <c r="DZ18" s="28"/>
      <c r="EA18" s="28"/>
      <c r="EB18" s="28"/>
      <c r="EC18" s="28" t="s">
        <v>619</v>
      </c>
      <c r="ED18" s="28" t="s">
        <v>625</v>
      </c>
      <c r="EE18" s="28"/>
      <c r="EF18" s="28" t="s">
        <v>636</v>
      </c>
      <c r="EG18" s="28" t="s">
        <v>644</v>
      </c>
      <c r="EH18" s="28"/>
      <c r="EI18" s="28"/>
      <c r="EJ18" s="28" t="s">
        <v>661</v>
      </c>
      <c r="EK18" s="28" t="s">
        <v>414</v>
      </c>
      <c r="EL18" s="28"/>
      <c r="EM18" s="28"/>
      <c r="EN18" s="28"/>
      <c r="EO18" s="28" t="s">
        <v>683</v>
      </c>
      <c r="EP18" s="28"/>
      <c r="EQ18" s="28"/>
      <c r="ER18" s="28"/>
      <c r="ES18" s="28"/>
      <c r="ET18" s="28" t="s">
        <v>703</v>
      </c>
      <c r="EU18" s="28" t="s">
        <v>715</v>
      </c>
      <c r="EV18" s="28" t="s">
        <v>720</v>
      </c>
      <c r="EW18" s="28" t="s">
        <v>724</v>
      </c>
      <c r="EX18" s="28"/>
      <c r="EY18" s="28"/>
      <c r="EZ18" s="28" t="s">
        <v>740</v>
      </c>
      <c r="FA18" s="28"/>
      <c r="FB18" s="28"/>
      <c r="FC18" s="28"/>
      <c r="FD18" s="28" t="s">
        <v>771</v>
      </c>
      <c r="FE18" s="28"/>
      <c r="FF18" s="28"/>
      <c r="FG18" s="28"/>
      <c r="FH18" s="28" t="s">
        <v>788</v>
      </c>
      <c r="FI18" s="28" t="s">
        <v>793</v>
      </c>
      <c r="FJ18" s="28" t="s">
        <v>797</v>
      </c>
      <c r="FK18" s="28" t="s">
        <v>801</v>
      </c>
      <c r="FL18" s="28"/>
      <c r="FM18" s="28"/>
      <c r="FN18" s="28"/>
      <c r="FO18" s="28"/>
      <c r="FP18" s="28" t="s">
        <v>822</v>
      </c>
      <c r="FQ18" s="28"/>
      <c r="FR18" s="28"/>
      <c r="FS18" s="28" t="s">
        <v>836</v>
      </c>
      <c r="FT18" s="28" t="s">
        <v>843</v>
      </c>
      <c r="FU18" s="28" t="s">
        <v>848</v>
      </c>
      <c r="FV18" s="28"/>
      <c r="FW18" s="28"/>
      <c r="FX18" s="28"/>
      <c r="FY18" s="28"/>
      <c r="FZ18" s="28" t="s">
        <v>868</v>
      </c>
      <c r="GA18" s="28"/>
      <c r="GB18" s="28" t="s">
        <v>883</v>
      </c>
      <c r="GC18" s="28"/>
      <c r="GD18" s="28"/>
      <c r="GE18" s="28" t="s">
        <v>897</v>
      </c>
      <c r="GF18" s="28"/>
      <c r="GG18" s="28"/>
      <c r="GH18" s="28"/>
      <c r="GI18" s="28"/>
      <c r="GJ18" s="28"/>
      <c r="GK18" s="28"/>
      <c r="GL18" s="28"/>
      <c r="GM18" s="28"/>
      <c r="GN18" s="28"/>
      <c r="GO18" s="28" t="s">
        <v>940</v>
      </c>
      <c r="GP18" s="28"/>
      <c r="GQ18" s="28"/>
      <c r="GR18" s="28"/>
      <c r="GS18" s="28"/>
      <c r="GT18" s="28"/>
      <c r="GU18" s="28"/>
      <c r="GV18" s="28"/>
      <c r="GW18" s="28"/>
      <c r="GX18" s="28"/>
      <c r="GY18" s="28" t="s">
        <v>872</v>
      </c>
      <c r="GZ18" s="28"/>
      <c r="HA18" s="28"/>
      <c r="HB18" s="28"/>
      <c r="HC18" s="28"/>
      <c r="HD18" s="28" t="s">
        <v>1005</v>
      </c>
      <c r="HE18" s="28" t="s">
        <v>1011</v>
      </c>
      <c r="HF18" s="28" t="s">
        <v>1022</v>
      </c>
      <c r="HG18" s="28" t="s">
        <v>1028</v>
      </c>
      <c r="HH18" s="28" t="s">
        <v>1040</v>
      </c>
      <c r="HI18" s="28"/>
      <c r="HJ18" s="28"/>
      <c r="HK18" s="28"/>
      <c r="HL18" s="28" t="s">
        <v>1058</v>
      </c>
      <c r="HM18" s="28"/>
      <c r="HN18" s="28" t="s">
        <v>1065</v>
      </c>
      <c r="HO18" s="28" t="s">
        <v>1072</v>
      </c>
      <c r="HP18" s="28"/>
      <c r="HQ18" s="28"/>
      <c r="HR18" s="28"/>
      <c r="HS18" s="28" t="s">
        <v>1088</v>
      </c>
      <c r="HT18" s="28"/>
      <c r="HU18" s="28"/>
      <c r="HV18" s="28" t="s">
        <v>1102</v>
      </c>
      <c r="HW18" s="28" t="s">
        <v>1105</v>
      </c>
      <c r="HX18" s="28" t="s">
        <v>451</v>
      </c>
      <c r="HY18" s="28"/>
      <c r="HZ18" s="28"/>
      <c r="IA18" s="28"/>
      <c r="IB18" s="28" t="s">
        <v>1123</v>
      </c>
      <c r="IC18" s="28"/>
      <c r="ID18" s="28" t="s">
        <v>1130</v>
      </c>
      <c r="IE18" s="28"/>
      <c r="IF18" s="28" t="s">
        <v>1138</v>
      </c>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c r="JX18" s="28"/>
      <c r="JY18" s="28"/>
      <c r="JZ18" s="28"/>
      <c r="KA18" s="28"/>
      <c r="KB18" s="28"/>
      <c r="KC18" s="28"/>
      <c r="KD18" s="28"/>
      <c r="KE18" s="28"/>
      <c r="KF18" s="28"/>
      <c r="KG18" s="28"/>
      <c r="KH18" s="28"/>
      <c r="KI18" s="28"/>
      <c r="KJ18" s="28"/>
      <c r="KK18" s="28"/>
      <c r="KL18" s="28"/>
      <c r="KM18" s="28"/>
      <c r="KN18" s="29"/>
    </row>
    <row r="19">
      <c r="A19" s="26" t="s">
        <v>21</v>
      </c>
      <c r="B19" s="28" t="s">
        <v>36</v>
      </c>
      <c r="C19" s="28"/>
      <c r="D19" s="28"/>
      <c r="E19" s="28"/>
      <c r="F19" s="28"/>
      <c r="G19" s="28"/>
      <c r="H19" s="28"/>
      <c r="I19" s="28"/>
      <c r="J19" s="28"/>
      <c r="K19" s="28"/>
      <c r="L19" s="28"/>
      <c r="M19" s="28" t="s">
        <v>95</v>
      </c>
      <c r="N19" s="28"/>
      <c r="O19" s="28"/>
      <c r="P19" s="28"/>
      <c r="Q19" s="28"/>
      <c r="R19" s="28"/>
      <c r="S19" s="28"/>
      <c r="T19" s="28"/>
      <c r="U19" s="28"/>
      <c r="V19" s="28"/>
      <c r="W19" s="28"/>
      <c r="X19" s="28"/>
      <c r="Y19" s="28"/>
      <c r="Z19" s="28"/>
      <c r="AA19" s="28" t="s">
        <v>154</v>
      </c>
      <c r="AB19" s="28"/>
      <c r="AC19" s="28"/>
      <c r="AD19" s="28"/>
      <c r="AE19" s="28"/>
      <c r="AF19" s="28"/>
      <c r="AG19" s="28"/>
      <c r="AH19" s="28"/>
      <c r="AI19" s="28"/>
      <c r="AJ19" s="28"/>
      <c r="AK19" s="28"/>
      <c r="AL19" s="28"/>
      <c r="AM19" s="28"/>
      <c r="AN19" s="28" t="s">
        <v>208</v>
      </c>
      <c r="AO19" s="28"/>
      <c r="AP19" s="28"/>
      <c r="AQ19" s="28"/>
      <c r="AR19" s="28"/>
      <c r="AS19" s="28"/>
      <c r="AT19" s="28"/>
      <c r="AU19" s="28" t="s">
        <v>239</v>
      </c>
      <c r="AV19" s="28"/>
      <c r="AW19" s="28"/>
      <c r="AX19" s="28"/>
      <c r="AY19" s="28"/>
      <c r="AZ19" s="28" t="s">
        <v>262</v>
      </c>
      <c r="BA19" s="28"/>
      <c r="BB19" s="28" t="s">
        <v>272</v>
      </c>
      <c r="BC19" s="28"/>
      <c r="BD19" s="28"/>
      <c r="BE19" s="28" t="s">
        <v>286</v>
      </c>
      <c r="BF19" s="28"/>
      <c r="BG19" s="28"/>
      <c r="BH19" s="28"/>
      <c r="BI19" s="28"/>
      <c r="BJ19" s="28"/>
      <c r="BK19" s="28"/>
      <c r="BL19" s="28" t="s">
        <v>314</v>
      </c>
      <c r="BM19" s="28"/>
      <c r="BN19" s="28" t="s">
        <v>324</v>
      </c>
      <c r="BO19" s="28"/>
      <c r="BP19" s="28"/>
      <c r="BQ19" s="28"/>
      <c r="BR19" s="28"/>
      <c r="BS19" s="28"/>
      <c r="BT19" s="28"/>
      <c r="BU19" s="28"/>
      <c r="BV19" s="28" t="s">
        <v>362</v>
      </c>
      <c r="BW19" s="28" t="s">
        <v>370</v>
      </c>
      <c r="BX19" s="28"/>
      <c r="BY19" s="28" t="s">
        <v>233</v>
      </c>
      <c r="BZ19" s="28"/>
      <c r="CA19" s="28" t="s">
        <v>393</v>
      </c>
      <c r="CB19" s="28"/>
      <c r="CC19" s="28"/>
      <c r="CD19" s="28"/>
      <c r="CE19" s="28"/>
      <c r="CF19" s="28"/>
      <c r="CG19" s="28"/>
      <c r="CH19" s="28"/>
      <c r="CI19" s="28"/>
      <c r="CJ19" s="28"/>
      <c r="CK19" s="28"/>
      <c r="CL19" s="28" t="s">
        <v>440</v>
      </c>
      <c r="CM19" s="28" t="s">
        <v>446</v>
      </c>
      <c r="CN19" s="28" t="s">
        <v>452</v>
      </c>
      <c r="CO19" s="28"/>
      <c r="CP19" s="28"/>
      <c r="CQ19" s="28"/>
      <c r="CR19" s="28"/>
      <c r="CS19" s="28"/>
      <c r="CT19" s="28"/>
      <c r="CU19" s="28"/>
      <c r="CV19" s="28"/>
      <c r="CW19" s="28"/>
      <c r="CX19" s="28"/>
      <c r="CY19" s="28"/>
      <c r="CZ19" s="28"/>
      <c r="DA19" s="28"/>
      <c r="DB19" s="28"/>
      <c r="DC19" s="28" t="s">
        <v>509</v>
      </c>
      <c r="DD19" s="28"/>
      <c r="DE19" s="28"/>
      <c r="DF19" s="28"/>
      <c r="DG19" s="28"/>
      <c r="DH19" s="28"/>
      <c r="DI19" s="28"/>
      <c r="DJ19" s="28"/>
      <c r="DK19" s="28"/>
      <c r="DL19" s="28"/>
      <c r="DM19" s="28"/>
      <c r="DN19" s="28"/>
      <c r="DO19" s="28"/>
      <c r="DP19" s="28"/>
      <c r="DQ19" s="28"/>
      <c r="DR19" s="28"/>
      <c r="DS19" s="28"/>
      <c r="DT19" s="28"/>
      <c r="DU19" s="28"/>
      <c r="DV19" s="28"/>
      <c r="DW19" s="28"/>
      <c r="DX19" s="28"/>
      <c r="DY19" s="28" t="s">
        <v>602</v>
      </c>
      <c r="DZ19" s="28"/>
      <c r="EA19" s="28"/>
      <c r="EB19" s="28"/>
      <c r="EC19" s="28" t="s">
        <v>620</v>
      </c>
      <c r="ED19" s="28" t="s">
        <v>626</v>
      </c>
      <c r="EE19" s="28"/>
      <c r="EF19" s="28" t="s">
        <v>637</v>
      </c>
      <c r="EG19" s="28" t="s">
        <v>645</v>
      </c>
      <c r="EH19" s="28"/>
      <c r="EI19" s="28"/>
      <c r="EJ19" s="28" t="s">
        <v>662</v>
      </c>
      <c r="EK19" s="28"/>
      <c r="EL19" s="28"/>
      <c r="EM19" s="28"/>
      <c r="EN19" s="28"/>
      <c r="EO19" s="28" t="s">
        <v>684</v>
      </c>
      <c r="EP19" s="28"/>
      <c r="EQ19" s="28"/>
      <c r="ER19" s="28"/>
      <c r="ES19" s="28"/>
      <c r="ET19" s="28" t="s">
        <v>704</v>
      </c>
      <c r="EU19" s="28" t="s">
        <v>716</v>
      </c>
      <c r="EV19" s="28"/>
      <c r="EW19" s="28" t="s">
        <v>725</v>
      </c>
      <c r="EX19" s="28"/>
      <c r="EY19" s="28"/>
      <c r="EZ19" s="28" t="s">
        <v>741</v>
      </c>
      <c r="FA19" s="28"/>
      <c r="FB19" s="28"/>
      <c r="FC19" s="28"/>
      <c r="FD19" s="28" t="s">
        <v>772</v>
      </c>
      <c r="FE19" s="28"/>
      <c r="FF19" s="28"/>
      <c r="FG19" s="28"/>
      <c r="FH19" s="28"/>
      <c r="FI19" s="28"/>
      <c r="FJ19" s="28"/>
      <c r="FK19" s="28" t="s">
        <v>802</v>
      </c>
      <c r="FL19" s="28"/>
      <c r="FM19" s="28"/>
      <c r="FN19" s="28"/>
      <c r="FO19" s="28"/>
      <c r="FP19" s="28" t="s">
        <v>823</v>
      </c>
      <c r="FQ19" s="28"/>
      <c r="FR19" s="28"/>
      <c r="FS19" s="28" t="s">
        <v>837</v>
      </c>
      <c r="FT19" s="28"/>
      <c r="FU19" s="28" t="s">
        <v>849</v>
      </c>
      <c r="FV19" s="28"/>
      <c r="FW19" s="28"/>
      <c r="FX19" s="28"/>
      <c r="FY19" s="28"/>
      <c r="FZ19" s="28" t="s">
        <v>869</v>
      </c>
      <c r="GA19" s="28"/>
      <c r="GB19" s="28" t="s">
        <v>884</v>
      </c>
      <c r="GC19" s="28"/>
      <c r="GD19" s="28"/>
      <c r="GE19" s="28" t="s">
        <v>898</v>
      </c>
      <c r="GF19" s="28"/>
      <c r="GG19" s="28"/>
      <c r="GH19" s="28"/>
      <c r="GI19" s="28"/>
      <c r="GJ19" s="28"/>
      <c r="GK19" s="28"/>
      <c r="GL19" s="28"/>
      <c r="GM19" s="28"/>
      <c r="GN19" s="28"/>
      <c r="GO19" s="28"/>
      <c r="GP19" s="28"/>
      <c r="GQ19" s="28"/>
      <c r="GR19" s="28"/>
      <c r="GS19" s="28"/>
      <c r="GT19" s="28"/>
      <c r="GU19" s="28"/>
      <c r="GV19" s="28"/>
      <c r="GW19" s="28"/>
      <c r="GX19" s="28"/>
      <c r="GY19" s="28" t="s">
        <v>983</v>
      </c>
      <c r="GZ19" s="28"/>
      <c r="HA19" s="28"/>
      <c r="HB19" s="28"/>
      <c r="HC19" s="28"/>
      <c r="HD19" s="28"/>
      <c r="HE19" s="28" t="s">
        <v>1012</v>
      </c>
      <c r="HF19" s="28"/>
      <c r="HG19" s="28" t="s">
        <v>1029</v>
      </c>
      <c r="HH19" s="28"/>
      <c r="HI19" s="28"/>
      <c r="HJ19" s="28"/>
      <c r="HK19" s="28"/>
      <c r="HL19" s="28"/>
      <c r="HM19" s="28"/>
      <c r="HN19" s="28" t="s">
        <v>1066</v>
      </c>
      <c r="HO19" s="28" t="s">
        <v>1068</v>
      </c>
      <c r="HP19" s="28"/>
      <c r="HQ19" s="28"/>
      <c r="HR19" s="28"/>
      <c r="HS19" s="28" t="s">
        <v>1089</v>
      </c>
      <c r="HT19" s="28"/>
      <c r="HU19" s="28"/>
      <c r="HV19" s="28"/>
      <c r="HW19" s="28"/>
      <c r="HX19" s="28"/>
      <c r="HY19" s="28"/>
      <c r="HZ19" s="28"/>
      <c r="IA19" s="28"/>
      <c r="IB19" s="28"/>
      <c r="IC19" s="28"/>
      <c r="ID19" s="28" t="s">
        <v>451</v>
      </c>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c r="JT19" s="28"/>
      <c r="JU19" s="28"/>
      <c r="JV19" s="28"/>
      <c r="JW19" s="28"/>
      <c r="JX19" s="28"/>
      <c r="JY19" s="28"/>
      <c r="JZ19" s="28"/>
      <c r="KA19" s="28"/>
      <c r="KB19" s="28"/>
      <c r="KC19" s="28"/>
      <c r="KD19" s="28"/>
      <c r="KE19" s="28"/>
      <c r="KF19" s="28"/>
      <c r="KG19" s="28"/>
      <c r="KH19" s="28"/>
      <c r="KI19" s="28"/>
      <c r="KJ19" s="28"/>
      <c r="KK19" s="28"/>
      <c r="KL19" s="28"/>
      <c r="KM19" s="28"/>
      <c r="KN19" s="29"/>
    </row>
    <row r="20">
      <c r="A20" s="26" t="s">
        <v>22</v>
      </c>
      <c r="B20" s="28"/>
      <c r="C20" s="28"/>
      <c r="D20" s="28"/>
      <c r="E20" s="28"/>
      <c r="F20" s="28"/>
      <c r="G20" s="28"/>
      <c r="H20" s="28"/>
      <c r="I20" s="28"/>
      <c r="J20" s="28"/>
      <c r="K20" s="28"/>
      <c r="L20" s="28"/>
      <c r="M20" s="28" t="s">
        <v>96</v>
      </c>
      <c r="N20" s="28"/>
      <c r="O20" s="28"/>
      <c r="P20" s="28"/>
      <c r="Q20" s="28"/>
      <c r="R20" s="28"/>
      <c r="S20" s="28"/>
      <c r="T20" s="28"/>
      <c r="U20" s="28"/>
      <c r="V20" s="28"/>
      <c r="W20" s="28"/>
      <c r="X20" s="28"/>
      <c r="Y20" s="28"/>
      <c r="Z20" s="28"/>
      <c r="AA20" s="28" t="s">
        <v>155</v>
      </c>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t="s">
        <v>363</v>
      </c>
      <c r="BW20" s="28" t="s">
        <v>371</v>
      </c>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t="s">
        <v>510</v>
      </c>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t="s">
        <v>627</v>
      </c>
      <c r="EE20" s="28"/>
      <c r="EF20" s="28" t="s">
        <v>638</v>
      </c>
      <c r="EG20" s="28" t="s">
        <v>646</v>
      </c>
      <c r="EH20" s="28"/>
      <c r="EI20" s="28"/>
      <c r="EJ20" s="28" t="s">
        <v>663</v>
      </c>
      <c r="EK20" s="28"/>
      <c r="EL20" s="28"/>
      <c r="EM20" s="28"/>
      <c r="EN20" s="28"/>
      <c r="EO20" s="28"/>
      <c r="EP20" s="28"/>
      <c r="EQ20" s="28"/>
      <c r="ER20" s="28"/>
      <c r="ES20" s="28"/>
      <c r="ET20" s="28" t="s">
        <v>705</v>
      </c>
      <c r="EU20" s="28"/>
      <c r="EV20" s="28"/>
      <c r="EW20" s="28" t="s">
        <v>726</v>
      </c>
      <c r="EX20" s="28"/>
      <c r="EY20" s="28"/>
      <c r="EZ20" s="28" t="s">
        <v>742</v>
      </c>
      <c r="FA20" s="28"/>
      <c r="FB20" s="28"/>
      <c r="FC20" s="28"/>
      <c r="FD20" s="28" t="s">
        <v>773</v>
      </c>
      <c r="FE20" s="28"/>
      <c r="FF20" s="28"/>
      <c r="FG20" s="28"/>
      <c r="FH20" s="28"/>
      <c r="FI20" s="28"/>
      <c r="FJ20" s="28"/>
      <c r="FK20" s="28"/>
      <c r="FL20" s="28"/>
      <c r="FM20" s="28"/>
      <c r="FN20" s="28"/>
      <c r="FO20" s="28"/>
      <c r="FP20" s="28" t="s">
        <v>824</v>
      </c>
      <c r="FQ20" s="28"/>
      <c r="FR20" s="28"/>
      <c r="FS20" s="28" t="s">
        <v>838</v>
      </c>
      <c r="FT20" s="28"/>
      <c r="FU20" s="28"/>
      <c r="FV20" s="28"/>
      <c r="FW20" s="28"/>
      <c r="FX20" s="28"/>
      <c r="FY20" s="28"/>
      <c r="FZ20" s="28" t="s">
        <v>870</v>
      </c>
      <c r="GA20" s="28"/>
      <c r="GB20" s="28"/>
      <c r="GC20" s="28"/>
      <c r="GD20" s="28"/>
      <c r="GE20" s="28" t="s">
        <v>899</v>
      </c>
      <c r="GF20" s="28"/>
      <c r="GG20" s="28"/>
      <c r="GH20" s="28"/>
      <c r="GI20" s="28"/>
      <c r="GJ20" s="28"/>
      <c r="GK20" s="28"/>
      <c r="GL20" s="28"/>
      <c r="GM20" s="28"/>
      <c r="GN20" s="28"/>
      <c r="GO20" s="28"/>
      <c r="GP20" s="28"/>
      <c r="GQ20" s="28"/>
      <c r="GR20" s="28"/>
      <c r="GS20" s="28"/>
      <c r="GT20" s="28"/>
      <c r="GU20" s="28"/>
      <c r="GV20" s="28"/>
      <c r="GW20" s="28"/>
      <c r="GX20" s="28"/>
      <c r="GY20" s="28" t="s">
        <v>984</v>
      </c>
      <c r="GZ20" s="28"/>
      <c r="HA20" s="28"/>
      <c r="HB20" s="28"/>
      <c r="HC20" s="28"/>
      <c r="HD20" s="28"/>
      <c r="HE20" s="28" t="s">
        <v>1013</v>
      </c>
      <c r="HF20" s="28"/>
      <c r="HG20" s="28" t="s">
        <v>1030</v>
      </c>
      <c r="HH20" s="28"/>
      <c r="HI20" s="28"/>
      <c r="HJ20" s="28"/>
      <c r="HK20" s="28"/>
      <c r="HL20" s="28"/>
      <c r="HM20" s="28"/>
      <c r="HN20" s="28" t="s">
        <v>1067</v>
      </c>
      <c r="HO20" s="28"/>
      <c r="HP20" s="28"/>
      <c r="HQ20" s="28"/>
      <c r="HR20" s="28"/>
      <c r="HS20" s="28" t="s">
        <v>1090</v>
      </c>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c r="JT20" s="28"/>
      <c r="JU20" s="28"/>
      <c r="JV20" s="28"/>
      <c r="JW20" s="28"/>
      <c r="JX20" s="28"/>
      <c r="JY20" s="28"/>
      <c r="JZ20" s="28"/>
      <c r="KA20" s="28"/>
      <c r="KB20" s="28"/>
      <c r="KC20" s="28"/>
      <c r="KD20" s="28"/>
      <c r="KE20" s="28"/>
      <c r="KF20" s="28"/>
      <c r="KG20" s="28"/>
      <c r="KH20" s="28"/>
      <c r="KI20" s="28"/>
      <c r="KJ20" s="28"/>
      <c r="KK20" s="28"/>
      <c r="KL20" s="28"/>
      <c r="KM20" s="28"/>
      <c r="KN20" s="29"/>
    </row>
    <row r="21">
      <c r="A21" s="26" t="s">
        <v>23</v>
      </c>
      <c r="B21" s="28"/>
      <c r="C21" s="28"/>
      <c r="D21" s="28"/>
      <c r="E21" s="28"/>
      <c r="F21" s="28"/>
      <c r="G21" s="28"/>
      <c r="H21" s="28"/>
      <c r="I21" s="28"/>
      <c r="J21" s="28"/>
      <c r="K21" s="28"/>
      <c r="L21" s="28"/>
      <c r="M21" s="28" t="s">
        <v>97</v>
      </c>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t="s">
        <v>364</v>
      </c>
      <c r="BW21" s="28" t="s">
        <v>372</v>
      </c>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t="s">
        <v>639</v>
      </c>
      <c r="EG21" s="28" t="s">
        <v>647</v>
      </c>
      <c r="EH21" s="28"/>
      <c r="EI21" s="28"/>
      <c r="EJ21" s="28" t="s">
        <v>664</v>
      </c>
      <c r="EK21" s="28"/>
      <c r="EL21" s="28"/>
      <c r="EM21" s="28"/>
      <c r="EN21" s="28"/>
      <c r="EO21" s="28"/>
      <c r="EP21" s="28"/>
      <c r="EQ21" s="28"/>
      <c r="ER21" s="28"/>
      <c r="ES21" s="28"/>
      <c r="ET21" s="28" t="s">
        <v>706</v>
      </c>
      <c r="EU21" s="28"/>
      <c r="EV21" s="28"/>
      <c r="EW21" s="28"/>
      <c r="EX21" s="28"/>
      <c r="EY21" s="28"/>
      <c r="EZ21" s="28" t="s">
        <v>743</v>
      </c>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t="s">
        <v>871</v>
      </c>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t="s">
        <v>985</v>
      </c>
      <c r="GZ21" s="28"/>
      <c r="HA21" s="28"/>
      <c r="HB21" s="28"/>
      <c r="HC21" s="28"/>
      <c r="HD21" s="28"/>
      <c r="HE21" s="28" t="s">
        <v>1014</v>
      </c>
      <c r="HF21" s="28"/>
      <c r="HG21" s="28" t="s">
        <v>1031</v>
      </c>
      <c r="HH21" s="28"/>
      <c r="HI21" s="28"/>
      <c r="HJ21" s="28"/>
      <c r="HK21" s="28"/>
      <c r="HL21" s="28"/>
      <c r="HM21" s="28"/>
      <c r="HN21" s="28" t="s">
        <v>1068</v>
      </c>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c r="JT21" s="28"/>
      <c r="JU21" s="28"/>
      <c r="JV21" s="28"/>
      <c r="JW21" s="28"/>
      <c r="JX21" s="28"/>
      <c r="JY21" s="28"/>
      <c r="JZ21" s="28"/>
      <c r="KA21" s="28"/>
      <c r="KB21" s="28"/>
      <c r="KC21" s="28"/>
      <c r="KD21" s="28"/>
      <c r="KE21" s="28"/>
      <c r="KF21" s="28"/>
      <c r="KG21" s="28"/>
      <c r="KH21" s="28"/>
      <c r="KI21" s="28"/>
      <c r="KJ21" s="28"/>
      <c r="KK21" s="28"/>
      <c r="KL21" s="28"/>
      <c r="KM21" s="28"/>
      <c r="KN21" s="29"/>
    </row>
    <row r="22">
      <c r="A22" s="26" t="s">
        <v>24</v>
      </c>
      <c r="B22" s="28"/>
      <c r="C22" s="28"/>
      <c r="D22" s="28"/>
      <c r="E22" s="28"/>
      <c r="F22" s="28"/>
      <c r="G22" s="28"/>
      <c r="H22" s="28"/>
      <c r="I22" s="28"/>
      <c r="J22" s="28"/>
      <c r="K22" s="28"/>
      <c r="L22" s="28"/>
      <c r="M22" s="28" t="s">
        <v>98</v>
      </c>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t="s">
        <v>648</v>
      </c>
      <c r="EH22" s="28"/>
      <c r="EI22" s="28"/>
      <c r="EJ22" s="28"/>
      <c r="EK22" s="28"/>
      <c r="EL22" s="28"/>
      <c r="EM22" s="28"/>
      <c r="EN22" s="28"/>
      <c r="EO22" s="28"/>
      <c r="EP22" s="28"/>
      <c r="EQ22" s="28"/>
      <c r="ER22" s="28"/>
      <c r="ES22" s="28"/>
      <c r="ET22" s="28" t="s">
        <v>707</v>
      </c>
      <c r="EU22" s="28"/>
      <c r="EV22" s="28"/>
      <c r="EW22" s="28"/>
      <c r="EX22" s="28"/>
      <c r="EY22" s="28"/>
      <c r="EZ22" s="28" t="s">
        <v>744</v>
      </c>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t="s">
        <v>872</v>
      </c>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t="s">
        <v>986</v>
      </c>
      <c r="GZ22" s="28"/>
      <c r="HA22" s="28"/>
      <c r="HB22" s="28"/>
      <c r="HC22" s="28"/>
      <c r="HD22" s="28"/>
      <c r="HE22" s="28" t="s">
        <v>1015</v>
      </c>
      <c r="HF22" s="28"/>
      <c r="HG22" s="28" t="s">
        <v>1032</v>
      </c>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c r="JT22" s="28"/>
      <c r="JU22" s="28"/>
      <c r="JV22" s="28"/>
      <c r="JW22" s="28"/>
      <c r="JX22" s="28"/>
      <c r="JY22" s="28"/>
      <c r="JZ22" s="28"/>
      <c r="KA22" s="28"/>
      <c r="KB22" s="28"/>
      <c r="KC22" s="28"/>
      <c r="KD22" s="28"/>
      <c r="KE22" s="28"/>
      <c r="KF22" s="28"/>
      <c r="KG22" s="28"/>
      <c r="KH22" s="28"/>
      <c r="KI22" s="28"/>
      <c r="KJ22" s="28"/>
      <c r="KK22" s="28"/>
      <c r="KL22" s="28"/>
      <c r="KM22" s="28"/>
      <c r="KN22" s="29"/>
    </row>
    <row r="23">
      <c r="A23" s="26" t="s">
        <v>25</v>
      </c>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t="s">
        <v>649</v>
      </c>
      <c r="EH23" s="28"/>
      <c r="EI23" s="28"/>
      <c r="EJ23" s="28"/>
      <c r="EK23" s="28"/>
      <c r="EL23" s="28"/>
      <c r="EM23" s="28"/>
      <c r="EN23" s="28"/>
      <c r="EO23" s="28"/>
      <c r="EP23" s="28"/>
      <c r="EQ23" s="28"/>
      <c r="ER23" s="28"/>
      <c r="ES23" s="28"/>
      <c r="ET23" s="28" t="s">
        <v>708</v>
      </c>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t="s">
        <v>873</v>
      </c>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t="s">
        <v>1016</v>
      </c>
      <c r="HF23" s="28"/>
      <c r="HG23" s="28" t="s">
        <v>1033</v>
      </c>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c r="JT23" s="28"/>
      <c r="JU23" s="28"/>
      <c r="JV23" s="28"/>
      <c r="JW23" s="28"/>
      <c r="JX23" s="28"/>
      <c r="JY23" s="28"/>
      <c r="JZ23" s="28"/>
      <c r="KA23" s="28"/>
      <c r="KB23" s="28"/>
      <c r="KC23" s="28"/>
      <c r="KD23" s="28"/>
      <c r="KE23" s="28"/>
      <c r="KF23" s="28"/>
      <c r="KG23" s="28"/>
      <c r="KH23" s="28"/>
      <c r="KI23" s="28"/>
      <c r="KJ23" s="28"/>
      <c r="KK23" s="28"/>
      <c r="KL23" s="28"/>
      <c r="KM23" s="28"/>
      <c r="KN23" s="29"/>
    </row>
    <row r="24">
      <c r="A24" s="26" t="s">
        <v>26</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t="s">
        <v>650</v>
      </c>
      <c r="EH24" s="28"/>
      <c r="EI24" s="28"/>
      <c r="EJ24" s="28"/>
      <c r="EK24" s="28"/>
      <c r="EL24" s="28"/>
      <c r="EM24" s="28"/>
      <c r="EN24" s="28"/>
      <c r="EO24" s="28"/>
      <c r="EP24" s="28"/>
      <c r="EQ24" s="28"/>
      <c r="ER24" s="28"/>
      <c r="ES24" s="28"/>
      <c r="ET24" s="28" t="s">
        <v>709</v>
      </c>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t="s">
        <v>874</v>
      </c>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t="s">
        <v>1017</v>
      </c>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c r="JX24" s="28"/>
      <c r="JY24" s="28"/>
      <c r="JZ24" s="28"/>
      <c r="KA24" s="28"/>
      <c r="KB24" s="28"/>
      <c r="KC24" s="28"/>
      <c r="KD24" s="28"/>
      <c r="KE24" s="28"/>
      <c r="KF24" s="28"/>
      <c r="KG24" s="28"/>
      <c r="KH24" s="28"/>
      <c r="KI24" s="28"/>
      <c r="KJ24" s="28"/>
      <c r="KK24" s="28"/>
      <c r="KL24" s="28"/>
      <c r="KM24" s="28"/>
      <c r="KN24" s="29"/>
    </row>
    <row r="25">
      <c r="A25" s="26" t="s">
        <v>27</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t="s">
        <v>710</v>
      </c>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c r="JT25" s="28"/>
      <c r="JU25" s="28"/>
      <c r="JV25" s="28"/>
      <c r="JW25" s="28"/>
      <c r="JX25" s="28"/>
      <c r="JY25" s="28"/>
      <c r="JZ25" s="28"/>
      <c r="KA25" s="28"/>
      <c r="KB25" s="28"/>
      <c r="KC25" s="28"/>
      <c r="KD25" s="28"/>
      <c r="KE25" s="28"/>
      <c r="KF25" s="28"/>
      <c r="KG25" s="28"/>
      <c r="KH25" s="28"/>
      <c r="KI25" s="28"/>
      <c r="KJ25" s="28"/>
      <c r="KK25" s="28"/>
      <c r="KL25" s="28"/>
      <c r="KM25" s="28"/>
      <c r="KN25" s="29"/>
    </row>
    <row r="26">
      <c r="A26" s="26" t="s">
        <v>28</v>
      </c>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t="s">
        <v>711</v>
      </c>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c r="JT26" s="28"/>
      <c r="JU26" s="28"/>
      <c r="JV26" s="28"/>
      <c r="JW26" s="28"/>
      <c r="JX26" s="28"/>
      <c r="JY26" s="28"/>
      <c r="JZ26" s="28"/>
      <c r="KA26" s="28"/>
      <c r="KB26" s="28"/>
      <c r="KC26" s="28"/>
      <c r="KD26" s="28"/>
      <c r="KE26" s="28"/>
      <c r="KF26" s="28"/>
      <c r="KG26" s="28"/>
      <c r="KH26" s="28"/>
      <c r="KI26" s="28"/>
      <c r="KJ26" s="28"/>
      <c r="KK26" s="28"/>
      <c r="KL26" s="28"/>
      <c r="KM26" s="28"/>
      <c r="KN26" s="29"/>
    </row>
  </sheetData>
  <conditionalFormatting sqref="A2:KN26">
    <cfRule type="expression" dxfId="3" priority="1">
      <formula>ISEVEN(COLUMN())</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IFERROR(__xludf.DUMMYFUNCTION("FILTER(All!A5:Z25, (All!P5:P25 &lt;= 1) * (All!P5:P25 &gt;= 0))"),"Acolyte")</f>
        <v>Acolyte</v>
      </c>
      <c r="B2" s="12">
        <f>IFERROR(__xludf.DUMMYFUNCTION("""COMPUTED_VALUE"""),0.25)</f>
        <v>0.25</v>
      </c>
      <c r="C2" s="11" t="str">
        <f>IFERROR(__xludf.DUMMYFUNCTION("""COMPUTED_VALUE"""),"CR")</f>
        <v>CR</v>
      </c>
      <c r="D2" s="11" t="str">
        <f>IFERROR(__xludf.DUMMYFUNCTION("""COMPUTED_VALUE"""),"A religious trainee who knows basic rites and rituals.")</f>
        <v>A religious trainee who knows basic rites and rituals.</v>
      </c>
      <c r="E2" s="11">
        <f>IFERROR(__xludf.DUMMYFUNCTION("""COMPUTED_VALUE"""),12.0)</f>
        <v>12</v>
      </c>
      <c r="F2" s="11">
        <f>IFERROR(__xludf.DUMMYFUNCTION("""COMPUTED_VALUE"""),4.0)</f>
        <v>4</v>
      </c>
      <c r="G2" s="11" t="str">
        <f>IFERROR(__xludf.DUMMYFUNCTION("""COMPUTED_VALUE"""),"1 mace +1 (1d6) or 1 spell +2")</f>
        <v>1 mace +1 (1d6) or 1 spell +2</v>
      </c>
      <c r="H2" s="11" t="str">
        <f>IFERROR(__xludf.DUMMYFUNCTION("""COMPUTED_VALUE"""),"near")</f>
        <v>near</v>
      </c>
      <c r="I2" s="11">
        <f>IFERROR(__xludf.DUMMYFUNCTION("""COMPUTED_VALUE"""),1.0)</f>
        <v>1</v>
      </c>
      <c r="J2" s="11">
        <f>IFERROR(__xludf.DUMMYFUNCTION("""COMPUTED_VALUE"""),-1.0)</f>
        <v>-1</v>
      </c>
      <c r="K2" s="11">
        <f>IFERROR(__xludf.DUMMYFUNCTION("""COMPUTED_VALUE"""),0.0)</f>
        <v>0</v>
      </c>
      <c r="L2" s="11">
        <f>IFERROR(__xludf.DUMMYFUNCTION("""COMPUTED_VALUE"""),-1.0)</f>
        <v>-1</v>
      </c>
      <c r="M2" s="11">
        <f>IFERROR(__xludf.DUMMYFUNCTION("""COMPUTED_VALUE"""),2.0)</f>
        <v>2</v>
      </c>
      <c r="N2" s="11">
        <f>IFERROR(__xludf.DUMMYFUNCTION("""COMPUTED_VALUE"""),0.0)</f>
        <v>0</v>
      </c>
      <c r="O2" s="11" t="str">
        <f>IFERROR(__xludf.DUMMYFUNCTION("""COMPUTED_VALUE"""),"L")</f>
        <v>L</v>
      </c>
      <c r="P2" s="13">
        <f>IFERROR(__xludf.DUMMYFUNCTION("""COMPUTED_VALUE"""),1.0)</f>
        <v>1</v>
      </c>
      <c r="Q2" s="11" t="str">
        <f>IFERROR(__xludf.DUMMYFUNCTION("""COMPUTED_VALUE"""),"Healing Touch (WIS Spell): DC 11. Heal one creature within close for 1d4 HP.")</f>
        <v>Healing Touch (WIS Spell): DC 11. Heal one creature within close for 1d4 HP.</v>
      </c>
      <c r="R2" s="11"/>
      <c r="S2" s="11"/>
      <c r="T2" s="11"/>
      <c r="U2" s="11"/>
      <c r="V2" s="11"/>
      <c r="W2" s="11"/>
      <c r="X2" s="11"/>
      <c r="Y2" s="11"/>
      <c r="Z2" s="11"/>
      <c r="AA2" s="11"/>
      <c r="AB2" s="11"/>
    </row>
    <row r="3" ht="15.75" customHeight="1">
      <c r="A3" s="11" t="str">
        <f>IFERROR(__xludf.DUMMYFUNCTION("""COMPUTED_VALUE"""),"Apprentice")</f>
        <v>Apprentice</v>
      </c>
      <c r="B3" s="12" t="str">
        <f>IFERROR(__xludf.DUMMYFUNCTION("""COMPUTED_VALUE"""),"")</f>
        <v/>
      </c>
      <c r="C3" s="11" t="str">
        <f>IFERROR(__xludf.DUMMYFUNCTION("""COMPUTED_VALUE"""),"CR")</f>
        <v>CR</v>
      </c>
      <c r="D3" s="11" t="str">
        <f>IFERROR(__xludf.DUMMYFUNCTION("""COMPUTED_VALUE"""),"A cloaked magician with a thin, freshly bound")</f>
        <v>A cloaked magician with a thin, freshly bound</v>
      </c>
      <c r="E3" s="11">
        <f>IFERROR(__xludf.DUMMYFUNCTION("""COMPUTED_VALUE"""),11.0)</f>
        <v>11</v>
      </c>
      <c r="F3" s="11">
        <f>IFERROR(__xludf.DUMMYFUNCTION("""COMPUTED_VALUE"""),3.0)</f>
        <v>3</v>
      </c>
      <c r="G3" s="11" t="str">
        <f>IFERROR(__xludf.DUMMYFUNCTION("""COMPUTED_VALUE"""),"1 dagger (close/near) +1 (1d4) or 1 spell +2")</f>
        <v>1 dagger (close/near) +1 (1d4) or 1 spell +2</v>
      </c>
      <c r="H3" s="11" t="str">
        <f>IFERROR(__xludf.DUMMYFUNCTION("""COMPUTED_VALUE"""),"near")</f>
        <v>near</v>
      </c>
      <c r="I3" s="11">
        <f>IFERROR(__xludf.DUMMYFUNCTION("""COMPUTED_VALUE"""),-1.0)</f>
        <v>-1</v>
      </c>
      <c r="J3" s="11">
        <f>IFERROR(__xludf.DUMMYFUNCTION("""COMPUTED_VALUE"""),1.0)</f>
        <v>1</v>
      </c>
      <c r="K3" s="11">
        <f>IFERROR(__xludf.DUMMYFUNCTION("""COMPUTED_VALUE"""),-1.0)</f>
        <v>-1</v>
      </c>
      <c r="L3" s="11">
        <f>IFERROR(__xludf.DUMMYFUNCTION("""COMPUTED_VALUE"""),2.0)</f>
        <v>2</v>
      </c>
      <c r="M3" s="11">
        <f>IFERROR(__xludf.DUMMYFUNCTION("""COMPUTED_VALUE"""),0.0)</f>
        <v>0</v>
      </c>
      <c r="N3" s="11">
        <f>IFERROR(__xludf.DUMMYFUNCTION("""COMPUTED_VALUE"""),0.0)</f>
        <v>0</v>
      </c>
      <c r="O3" s="11" t="str">
        <f>IFERROR(__xludf.DUMMYFUNCTION("""COMPUTED_VALUE"""),"N")</f>
        <v>N</v>
      </c>
      <c r="P3" s="13">
        <f>IFERROR(__xludf.DUMMYFUNCTION("""COMPUTED_VALUE"""),1.0)</f>
        <v>1</v>
      </c>
      <c r="Q3" s="11" t="str">
        <f>IFERROR(__xludf.DUMMYFUNCTION("""COMPUTED_VALUE"""),"Beguile (INT Spell). DC 11. Focus. One target in near of LV 2 or less is stupefied for the duration.")</f>
        <v>Beguile (INT Spell). DC 11. Focus. One target in near of LV 2 or less is stupefied for the duration.</v>
      </c>
      <c r="R3" s="11" t="str">
        <f>IFERROR(__xludf.DUMMYFUNCTION("""COMPUTED_VALUE"""),"Magic Bolt (INT Spell). DC 11. 1d4 damage to one target within far.")</f>
        <v>Magic Bolt (INT Spell). DC 11. 1d4 damage to one target within far.</v>
      </c>
      <c r="S3" s="11"/>
      <c r="T3" s="11"/>
      <c r="U3" s="11"/>
      <c r="V3" s="11"/>
      <c r="W3" s="11"/>
      <c r="X3" s="11"/>
      <c r="Y3" s="11"/>
      <c r="Z3" s="11"/>
      <c r="AA3" s="11"/>
      <c r="AB3" s="11"/>
    </row>
    <row r="4" ht="15.75" customHeight="1">
      <c r="A4" s="11" t="str">
        <f>IFERROR(__xludf.DUMMYFUNCTION("""COMPUTED_VALUE"""),"Badger")</f>
        <v>Badger</v>
      </c>
      <c r="B4" s="12">
        <f>IFERROR(__xludf.DUMMYFUNCTION("""COMPUTED_VALUE"""),0.0)</f>
        <v>0</v>
      </c>
      <c r="C4" s="11" t="str">
        <f>IFERROR(__xludf.DUMMYFUNCTION("""COMPUTED_VALUE"""),"CR")</f>
        <v>CR</v>
      </c>
      <c r="D4" s="11" t="str">
        <f>IFERROR(__xludf.DUMMYFUNCTION("""COMPUTED_VALUE"""),"Fierce, clawed burrowers with black-and-white face stripes")</f>
        <v>Fierce, clawed burrowers with black-and-white face stripes</v>
      </c>
      <c r="E4" s="11">
        <f>IFERROR(__xludf.DUMMYFUNCTION("""COMPUTED_VALUE"""),11.0)</f>
        <v>11</v>
      </c>
      <c r="F4" s="11">
        <f>IFERROR(__xludf.DUMMYFUNCTION("""COMPUTED_VALUE"""),5.0)</f>
        <v>5</v>
      </c>
      <c r="G4" s="11" t="str">
        <f>IFERROR(__xludf.DUMMYFUNCTION("""COMPUTED_VALUE"""),"2 claw +2 (1d4)")</f>
        <v>2 claw +2 (1d4)</v>
      </c>
      <c r="H4" s="11" t="str">
        <f>IFERROR(__xludf.DUMMYFUNCTION("""COMPUTED_VALUE"""),"near (burrow)")</f>
        <v>near (burrow)</v>
      </c>
      <c r="I4" s="11">
        <f>IFERROR(__xludf.DUMMYFUNCTION("""COMPUTED_VALUE"""),2.0)</f>
        <v>2</v>
      </c>
      <c r="J4" s="11">
        <f>IFERROR(__xludf.DUMMYFUNCTION("""COMPUTED_VALUE"""),0.0)</f>
        <v>0</v>
      </c>
      <c r="K4" s="11">
        <f>IFERROR(__xludf.DUMMYFUNCTION("""COMPUTED_VALUE"""),1.0)</f>
        <v>1</v>
      </c>
      <c r="L4" s="11">
        <f>IFERROR(__xludf.DUMMYFUNCTION("""COMPUTED_VALUE"""),-3.0)</f>
        <v>-3</v>
      </c>
      <c r="M4" s="11">
        <f>IFERROR(__xludf.DUMMYFUNCTION("""COMPUTED_VALUE"""),1.0)</f>
        <v>1</v>
      </c>
      <c r="N4" s="11">
        <f>IFERROR(__xludf.DUMMYFUNCTION("""COMPUTED_VALUE"""),-2.0)</f>
        <v>-2</v>
      </c>
      <c r="O4" s="11" t="str">
        <f>IFERROR(__xludf.DUMMYFUNCTION("""COMPUTED_VALUE"""),"N")</f>
        <v>N</v>
      </c>
      <c r="P4" s="13">
        <f>IFERROR(__xludf.DUMMYFUNCTION("""COMPUTED_VALUE"""),1.0)</f>
        <v>1</v>
      </c>
      <c r="Q4" s="11" t="str">
        <f>IFERROR(__xludf.DUMMYFUNCTION("""COMPUTED_VALUE"""),"Rage. 1/day, immune to morale checks, +1d4 damage (3 rounds).")</f>
        <v>Rage. 1/day, immune to morale checks, +1d4 damage (3 rounds).</v>
      </c>
      <c r="R4" s="11"/>
      <c r="S4" s="11"/>
      <c r="T4" s="11"/>
      <c r="U4" s="11"/>
      <c r="V4" s="11"/>
      <c r="W4" s="11"/>
      <c r="X4" s="11"/>
      <c r="Y4" s="11"/>
      <c r="Z4" s="11"/>
      <c r="AA4" s="11"/>
      <c r="AB4" s="11"/>
    </row>
    <row r="5" ht="15.75" customHeight="1">
      <c r="A5" s="11" t="str">
        <f>IFERROR(__xludf.DUMMYFUNCTION("""COMPUTED_VALUE"""),"Bandit")</f>
        <v>Bandit</v>
      </c>
      <c r="B5" s="12">
        <f>IFERROR(__xludf.DUMMYFUNCTION("""COMPUTED_VALUE"""),0.125)</f>
        <v>0.125</v>
      </c>
      <c r="C5" s="11" t="str">
        <f>IFERROR(__xludf.DUMMYFUNCTION("""COMPUTED_VALUE"""),"CR")</f>
        <v>CR</v>
      </c>
      <c r="D5" s="11" t="str">
        <f>IFERROR(__xludf.DUMMYFUNCTION("""COMPUTED_VALUE"""),"Hard-bitten rogue in tattered leathers and a hooded cloak.")</f>
        <v>Hard-bitten rogue in tattered leathers and a hooded cloak.</v>
      </c>
      <c r="E5" s="11">
        <f>IFERROR(__xludf.DUMMYFUNCTION("""COMPUTED_VALUE"""),13.0)</f>
        <v>13</v>
      </c>
      <c r="F5" s="11">
        <f>IFERROR(__xludf.DUMMYFUNCTION("""COMPUTED_VALUE"""),4.0)</f>
        <v>4</v>
      </c>
      <c r="G5" s="11" t="str">
        <f>IFERROR(__xludf.DUMMYFUNCTION("""COMPUTED_VALUE"""),"1 club +1 (1d4) or 1 shortbow (far) +0 (1d4)")</f>
        <v>1 club +1 (1d4) or 1 shortbow (far) +0 (1d4)</v>
      </c>
      <c r="H5" s="11" t="str">
        <f>IFERROR(__xludf.DUMMYFUNCTION("""COMPUTED_VALUE"""),"near")</f>
        <v>near</v>
      </c>
      <c r="I5" s="11">
        <f>IFERROR(__xludf.DUMMYFUNCTION("""COMPUTED_VALUE"""),1.0)</f>
        <v>1</v>
      </c>
      <c r="J5" s="11">
        <f>IFERROR(__xludf.DUMMYFUNCTION("""COMPUTED_VALUE"""),0.0)</f>
        <v>0</v>
      </c>
      <c r="K5" s="11">
        <f>IFERROR(__xludf.DUMMYFUNCTION("""COMPUTED_VALUE"""),0.0)</f>
        <v>0</v>
      </c>
      <c r="L5" s="11">
        <f>IFERROR(__xludf.DUMMYFUNCTION("""COMPUTED_VALUE"""),-1.0)</f>
        <v>-1</v>
      </c>
      <c r="M5" s="11">
        <f>IFERROR(__xludf.DUMMYFUNCTION("""COMPUTED_VALUE"""),0.0)</f>
        <v>0</v>
      </c>
      <c r="N5" s="11">
        <f>IFERROR(__xludf.DUMMYFUNCTION("""COMPUTED_VALUE"""),-1.0)</f>
        <v>-1</v>
      </c>
      <c r="O5" s="11" t="str">
        <f>IFERROR(__xludf.DUMMYFUNCTION("""COMPUTED_VALUE"""),"C")</f>
        <v>C</v>
      </c>
      <c r="P5" s="13">
        <f>IFERROR(__xludf.DUMMYFUNCTION("""COMPUTED_VALUE"""),1.0)</f>
        <v>1</v>
      </c>
      <c r="Q5" s="11" t="str">
        <f>IFERROR(__xludf.DUMMYFUNCTION("""COMPUTED_VALUE"""),"Ambush. Deal an extra die of damage when undetected.")</f>
        <v>Ambush. Deal an extra die of damage when undetected.</v>
      </c>
      <c r="R5" s="11"/>
      <c r="S5" s="11"/>
      <c r="T5" s="11"/>
      <c r="U5" s="11"/>
      <c r="V5" s="11"/>
      <c r="W5" s="11"/>
      <c r="X5" s="11"/>
      <c r="Y5" s="11"/>
      <c r="Z5" s="11"/>
      <c r="AA5" s="11"/>
      <c r="AB5" s="11"/>
    </row>
    <row r="6" ht="15.75" customHeight="1">
      <c r="A6" s="11" t="str">
        <f>IFERROR(__xludf.DUMMYFUNCTION("""COMPUTED_VALUE"""),"Beastman")</f>
        <v>Beastman</v>
      </c>
      <c r="B6" s="12" t="str">
        <f>IFERROR(__xludf.DUMMYFUNCTION("""COMPUTED_VALUE"""),"")</f>
        <v/>
      </c>
      <c r="C6" s="11" t="str">
        <f>IFERROR(__xludf.DUMMYFUNCTION("""COMPUTED_VALUE"""),"CR")</f>
        <v>CR</v>
      </c>
      <c r="D6" s="11" t="str">
        <f>IFERROR(__xludf.DUMMYFUNCTION("""COMPUTED_VALUE"""),"A cave hominid with scraggly fur and a stone-tipped spear.")</f>
        <v>A cave hominid with scraggly fur and a stone-tipped spear.</v>
      </c>
      <c r="E6" s="11" t="str">
        <f>IFERROR(__xludf.DUMMYFUNCTION("""COMPUTED_VALUE"""),"12 (leather)")</f>
        <v>12 (leather)</v>
      </c>
      <c r="F6" s="11">
        <f>IFERROR(__xludf.DUMMYFUNCTION("""COMPUTED_VALUE"""),5.0)</f>
        <v>5</v>
      </c>
      <c r="G6" s="11" t="str">
        <f>IFERROR(__xludf.DUMMYFUNCTION("""COMPUTED_VALUE"""),"1 spear (close/near) +2 (1d6 + 1)")</f>
        <v>1 spear (close/near) +2 (1d6 + 1)</v>
      </c>
      <c r="H6" s="11" t="str">
        <f>IFERROR(__xludf.DUMMYFUNCTION("""COMPUTED_VALUE"""),"near")</f>
        <v>near</v>
      </c>
      <c r="I6" s="11">
        <f>IFERROR(__xludf.DUMMYFUNCTION("""COMPUTED_VALUE"""),2.0)</f>
        <v>2</v>
      </c>
      <c r="J6" s="11">
        <f>IFERROR(__xludf.DUMMYFUNCTION("""COMPUTED_VALUE"""),1.0)</f>
        <v>1</v>
      </c>
      <c r="K6" s="11">
        <f>IFERROR(__xludf.DUMMYFUNCTION("""COMPUTED_VALUE"""),1.0)</f>
        <v>1</v>
      </c>
      <c r="L6" s="11">
        <f>IFERROR(__xludf.DUMMYFUNCTION("""COMPUTED_VALUE"""),-2.0)</f>
        <v>-2</v>
      </c>
      <c r="M6" s="11">
        <f>IFERROR(__xludf.DUMMYFUNCTION("""COMPUTED_VALUE"""),1.0)</f>
        <v>1</v>
      </c>
      <c r="N6" s="11">
        <f>IFERROR(__xludf.DUMMYFUNCTION("""COMPUTED_VALUE"""),-1.0)</f>
        <v>-1</v>
      </c>
      <c r="O6" s="11" t="str">
        <f>IFERROR(__xludf.DUMMYFUNCTION("""COMPUTED_VALUE"""),"C")</f>
        <v>C</v>
      </c>
      <c r="P6" s="13">
        <f>IFERROR(__xludf.DUMMYFUNCTION("""COMPUTED_VALUE"""),1.0)</f>
        <v>1</v>
      </c>
      <c r="Q6" s="11" t="str">
        <f>IFERROR(__xludf.DUMMYFUNCTION("""COMPUTED_VALUE"""),"Brutal. +1 damage with melee weapons (included).")</f>
        <v>Brutal. +1 damage with melee weapons (included).</v>
      </c>
      <c r="R6" s="11"/>
      <c r="S6" s="11"/>
      <c r="T6" s="11"/>
      <c r="U6" s="11"/>
      <c r="V6" s="11"/>
      <c r="W6" s="11"/>
      <c r="X6" s="11"/>
      <c r="Y6" s="11"/>
      <c r="Z6" s="11"/>
      <c r="AA6" s="11"/>
      <c r="AB6" s="11"/>
    </row>
    <row r="7" ht="15.75" customHeight="1">
      <c r="A7" s="11" t="str">
        <f>IFERROR(__xludf.DUMMYFUNCTION("""COMPUTED_VALUE"""),"Centipede, Giant")</f>
        <v>Centipede, Giant</v>
      </c>
      <c r="B7" s="12">
        <f>IFERROR(__xludf.DUMMYFUNCTION("""COMPUTED_VALUE"""),0.25)</f>
        <v>0.25</v>
      </c>
      <c r="C7" s="11" t="str">
        <f>IFERROR(__xludf.DUMMYFUNCTION("""COMPUTED_VALUE"""),"CR")</f>
        <v>CR</v>
      </c>
      <c r="D7" s="11" t="str">
        <f>IFERROR(__xludf.DUMMYFUNCTION("""COMPUTED_VALUE"""),"Blood-red, feathery centipedes the size of a human arm. Their bite injects a burning poison that cramps muscles.")</f>
        <v>Blood-red, feathery centipedes the size of a human arm. Their bite injects a burning poison that cramps muscles.</v>
      </c>
      <c r="E7" s="11">
        <f>IFERROR(__xludf.DUMMYFUNCTION("""COMPUTED_VALUE"""),11.0)</f>
        <v>11</v>
      </c>
      <c r="F7" s="11">
        <f>IFERROR(__xludf.DUMMYFUNCTION("""COMPUTED_VALUE"""),4.0)</f>
        <v>4</v>
      </c>
      <c r="G7" s="11" t="str">
        <f>IFERROR(__xludf.DUMMYFUNCTION("""COMPUTED_VALUE"""),"1 bite +1 (1d4 + poison)")</f>
        <v>1 bite +1 (1d4 + poison)</v>
      </c>
      <c r="H7" s="11" t="str">
        <f>IFERROR(__xludf.DUMMYFUNCTION("""COMPUTED_VALUE"""),"near (climb)")</f>
        <v>near (climb)</v>
      </c>
      <c r="I7" s="11">
        <f>IFERROR(__xludf.DUMMYFUNCTION("""COMPUTED_VALUE"""),-3.0)</f>
        <v>-3</v>
      </c>
      <c r="J7" s="11">
        <f>IFERROR(__xludf.DUMMYFUNCTION("""COMPUTED_VALUE"""),1.0)</f>
        <v>1</v>
      </c>
      <c r="K7" s="11">
        <f>IFERROR(__xludf.DUMMYFUNCTION("""COMPUTED_VALUE"""),0.0)</f>
        <v>0</v>
      </c>
      <c r="L7" s="11">
        <f>IFERROR(__xludf.DUMMYFUNCTION("""COMPUTED_VALUE"""),-4.0)</f>
        <v>-4</v>
      </c>
      <c r="M7" s="11">
        <f>IFERROR(__xludf.DUMMYFUNCTION("""COMPUTED_VALUE"""),-3.0)</f>
        <v>-3</v>
      </c>
      <c r="N7" s="11">
        <f>IFERROR(__xludf.DUMMYFUNCTION("""COMPUTED_VALUE"""),-4.0)</f>
        <v>-4</v>
      </c>
      <c r="O7" s="11" t="str">
        <f>IFERROR(__xludf.DUMMYFUNCTION("""COMPUTED_VALUE"""),"N")</f>
        <v>N</v>
      </c>
      <c r="P7" s="13">
        <f>IFERROR(__xludf.DUMMYFUNCTION("""COMPUTED_VALUE"""),1.0)</f>
        <v>1</v>
      </c>
      <c r="Q7" s="11" t="str">
        <f>IFERROR(__xludf.DUMMYFUNCTION("""COMPUTED_VALUE"""),"Poison. DC 12 CON or paralyzed 1d4 rounds.")</f>
        <v>Poison. DC 12 CON or paralyzed 1d4 rounds.</v>
      </c>
      <c r="R7" s="11"/>
      <c r="S7" s="11"/>
      <c r="T7" s="11"/>
      <c r="U7" s="11"/>
      <c r="V7" s="11"/>
      <c r="W7" s="11"/>
      <c r="X7" s="11"/>
      <c r="Y7" s="11"/>
      <c r="Z7" s="11"/>
      <c r="AA7" s="11"/>
      <c r="AB7" s="11"/>
    </row>
    <row r="8" ht="15.75" customHeight="1">
      <c r="A8" s="11" t="str">
        <f>IFERROR(__xludf.DUMMYFUNCTION("""COMPUTED_VALUE"""),"Darkmantle")</f>
        <v>Darkmantle</v>
      </c>
      <c r="B8" s="12">
        <f>IFERROR(__xludf.DUMMYFUNCTION("""COMPUTED_VALUE"""),0.5)</f>
        <v>0.5</v>
      </c>
      <c r="C8" s="11" t="str">
        <f>IFERROR(__xludf.DUMMYFUNCTION("""COMPUTED_VALUE"""),"CR")</f>
        <v>CR</v>
      </c>
      <c r="D8" s="11" t="str">
        <f>IFERROR(__xludf.DUMMYFUNCTION("""COMPUTED_VALUE"""),"A floating, black octopus with rows of red eyes and a webbed skirt of tentacles.")</f>
        <v>A floating, black octopus with rows of red eyes and a webbed skirt of tentacles.</v>
      </c>
      <c r="E8" s="11">
        <f>IFERROR(__xludf.DUMMYFUNCTION("""COMPUTED_VALUE"""),13.0)</f>
        <v>13</v>
      </c>
      <c r="F8" s="11">
        <f>IFERROR(__xludf.DUMMYFUNCTION("""COMPUTED_VALUE"""),4.0)</f>
        <v>4</v>
      </c>
      <c r="G8" s="11" t="str">
        <f>IFERROR(__xludf.DUMMYFUNCTION("""COMPUTED_VALUE"""),"1 bite +3 (1d4) or 1 darkness")</f>
        <v>1 bite +3 (1d4) or 1 darkness</v>
      </c>
      <c r="H8" s="11" t="str">
        <f>IFERROR(__xludf.DUMMYFUNCTION("""COMPUTED_VALUE"""),"near (fly)")</f>
        <v>near (fly)</v>
      </c>
      <c r="I8" s="11">
        <f>IFERROR(__xludf.DUMMYFUNCTION("""COMPUTED_VALUE"""),-2.0)</f>
        <v>-2</v>
      </c>
      <c r="J8" s="11">
        <f>IFERROR(__xludf.DUMMYFUNCTION("""COMPUTED_VALUE"""),3.0)</f>
        <v>3</v>
      </c>
      <c r="K8" s="11">
        <f>IFERROR(__xludf.DUMMYFUNCTION("""COMPUTED_VALUE"""),0.0)</f>
        <v>0</v>
      </c>
      <c r="L8" s="11">
        <f>IFERROR(__xludf.DUMMYFUNCTION("""COMPUTED_VALUE"""),-3.0)</f>
        <v>-3</v>
      </c>
      <c r="M8" s="11">
        <f>IFERROR(__xludf.DUMMYFUNCTION("""COMPUTED_VALUE"""),0.0)</f>
        <v>0</v>
      </c>
      <c r="N8" s="11">
        <f>IFERROR(__xludf.DUMMYFUNCTION("""COMPUTED_VALUE"""),-3.0)</f>
        <v>-3</v>
      </c>
      <c r="O8" s="11" t="str">
        <f>IFERROR(__xludf.DUMMYFUNCTION("""COMPUTED_VALUE"""),"N")</f>
        <v>N</v>
      </c>
      <c r="P8" s="13">
        <f>IFERROR(__xludf.DUMMYFUNCTION("""COMPUTED_VALUE"""),1.0)</f>
        <v>1</v>
      </c>
      <c r="Q8" s="11" t="str">
        <f>IFERROR(__xludf.DUMMYFUNCTION("""COMPUTED_VALUE"""),"Darkness. Extinguish all light sources in near.")</f>
        <v>Darkness. Extinguish all light sources in near.</v>
      </c>
      <c r="R8" s="11"/>
      <c r="S8" s="11"/>
      <c r="T8" s="11"/>
      <c r="U8" s="11"/>
      <c r="V8" s="11"/>
      <c r="W8" s="11"/>
      <c r="X8" s="11"/>
      <c r="Y8" s="11"/>
      <c r="Z8" s="11"/>
      <c r="AA8" s="11"/>
      <c r="AB8" s="11"/>
    </row>
    <row r="9" ht="15.75" customHeight="1">
      <c r="A9" s="11" t="str">
        <f>IFERROR(__xludf.DUMMYFUNCTION("""COMPUTED_VALUE"""),"Fairy")</f>
        <v>Fairy</v>
      </c>
      <c r="B9" s="12" t="str">
        <f>IFERROR(__xludf.DUMMYFUNCTION("""COMPUTED_VALUE"""),"")</f>
        <v/>
      </c>
      <c r="C9" s="11" t="str">
        <f>IFERROR(__xludf.DUMMYFUNCTION("""COMPUTED_VALUE"""),"CR")</f>
        <v>CR</v>
      </c>
      <c r="D9" s="11" t="str">
        <f>IFERROR(__xludf.DUMMYFUNCTION("""COMPUTED_VALUE"""),"Miniature fey folk with fluttering moth or butterfly wings.")</f>
        <v>Miniature fey folk with fluttering moth or butterfly wings.</v>
      </c>
      <c r="E9" s="11">
        <f>IFERROR(__xludf.DUMMYFUNCTION("""COMPUTED_VALUE"""),13.0)</f>
        <v>13</v>
      </c>
      <c r="F9" s="11">
        <f>IFERROR(__xludf.DUMMYFUNCTION("""COMPUTED_VALUE"""),4.0)</f>
        <v>4</v>
      </c>
      <c r="G9" s="11" t="str">
        <f>IFERROR(__xludf.DUMMYFUNCTION("""COMPUTED_VALUE"""),"1 needle +3 (1 + poison)")</f>
        <v>1 needle +3 (1 + poison)</v>
      </c>
      <c r="H9" s="11" t="str">
        <f>IFERROR(__xludf.DUMMYFUNCTION("""COMPUTED_VALUE"""),"near (fly)")</f>
        <v>near (fly)</v>
      </c>
      <c r="I9" s="11">
        <f>IFERROR(__xludf.DUMMYFUNCTION("""COMPUTED_VALUE"""),-2.0)</f>
        <v>-2</v>
      </c>
      <c r="J9" s="11">
        <f>IFERROR(__xludf.DUMMYFUNCTION("""COMPUTED_VALUE"""),3.0)</f>
        <v>3</v>
      </c>
      <c r="K9" s="11">
        <f>IFERROR(__xludf.DUMMYFUNCTION("""COMPUTED_VALUE"""),0.0)</f>
        <v>0</v>
      </c>
      <c r="L9" s="11">
        <f>IFERROR(__xludf.DUMMYFUNCTION("""COMPUTED_VALUE"""),1.0)</f>
        <v>1</v>
      </c>
      <c r="M9" s="11">
        <f>IFERROR(__xludf.DUMMYFUNCTION("""COMPUTED_VALUE"""),0.0)</f>
        <v>0</v>
      </c>
      <c r="N9" s="11">
        <f>IFERROR(__xludf.DUMMYFUNCTION("""COMPUTED_VALUE"""),1.0)</f>
        <v>1</v>
      </c>
      <c r="O9" s="11" t="str">
        <f>IFERROR(__xludf.DUMMYFUNCTION("""COMPUTED_VALUE"""),"N")</f>
        <v>N</v>
      </c>
      <c r="P9" s="13">
        <f>IFERROR(__xludf.DUMMYFUNCTION("""COMPUTED_VALUE"""),1.0)</f>
        <v>1</v>
      </c>
      <c r="Q9" s="11" t="str">
        <f>IFERROR(__xludf.DUMMYFUNCTION("""COMPUTED_VALUE"""),"Poison. DC 12 CON or fall into deep sleep for 1d4 hours.")</f>
        <v>Poison. DC 12 CON or fall into deep sleep for 1d4 hours.</v>
      </c>
      <c r="R9" s="11"/>
      <c r="S9" s="11"/>
      <c r="T9" s="11"/>
      <c r="U9" s="11"/>
      <c r="V9" s="11"/>
      <c r="W9" s="11"/>
      <c r="X9" s="11"/>
      <c r="Y9" s="11"/>
      <c r="Z9" s="11"/>
      <c r="AA9" s="11"/>
      <c r="AB9" s="11"/>
    </row>
    <row r="10" ht="15.75" customHeight="1">
      <c r="A10" s="11" t="str">
        <f>IFERROR(__xludf.DUMMYFUNCTION("""COMPUTED_VALUE"""),"Goblin")</f>
        <v>Goblin</v>
      </c>
      <c r="B10" s="12">
        <f>IFERROR(__xludf.DUMMYFUNCTION("""COMPUTED_VALUE"""),0.25)</f>
        <v>0.25</v>
      </c>
      <c r="C10" s="11" t="str">
        <f>IFERROR(__xludf.DUMMYFUNCTION("""COMPUTED_VALUE"""),"CR")</f>
        <v>CR</v>
      </c>
      <c r="D10" s="11" t="str">
        <f>IFERROR(__xludf.DUMMYFUNCTION("""COMPUTED_VALUE"""),"A short, hairless humanoid with green skin and pointy ears.")</f>
        <v>A short, hairless humanoid with green skin and pointy ears.</v>
      </c>
      <c r="E10" s="11">
        <f>IFERROR(__xludf.DUMMYFUNCTION("""COMPUTED_VALUE"""),11.0)</f>
        <v>11</v>
      </c>
      <c r="F10" s="11">
        <f>IFERROR(__xludf.DUMMYFUNCTION("""COMPUTED_VALUE"""),5.0)</f>
        <v>5</v>
      </c>
      <c r="G10" s="11" t="str">
        <f>IFERROR(__xludf.DUMMYFUNCTION("""COMPUTED_VALUE"""),"1 club +0 (1d4) or 1 shortbow (far) +1 (1d4)")</f>
        <v>1 club +0 (1d4) or 1 shortbow (far) +1 (1d4)</v>
      </c>
      <c r="H10" s="11" t="str">
        <f>IFERROR(__xludf.DUMMYFUNCTION("""COMPUTED_VALUE"""),"near")</f>
        <v>near</v>
      </c>
      <c r="I10" s="11">
        <f>IFERROR(__xludf.DUMMYFUNCTION("""COMPUTED_VALUE"""),0.0)</f>
        <v>0</v>
      </c>
      <c r="J10" s="11">
        <f>IFERROR(__xludf.DUMMYFUNCTION("""COMPUTED_VALUE"""),1.0)</f>
        <v>1</v>
      </c>
      <c r="K10" s="11">
        <f>IFERROR(__xludf.DUMMYFUNCTION("""COMPUTED_VALUE"""),1.0)</f>
        <v>1</v>
      </c>
      <c r="L10" s="11">
        <f>IFERROR(__xludf.DUMMYFUNCTION("""COMPUTED_VALUE"""),-1.0)</f>
        <v>-1</v>
      </c>
      <c r="M10" s="11">
        <f>IFERROR(__xludf.DUMMYFUNCTION("""COMPUTED_VALUE"""),-1.0)</f>
        <v>-1</v>
      </c>
      <c r="N10" s="11">
        <f>IFERROR(__xludf.DUMMYFUNCTION("""COMPUTED_VALUE"""),-2.0)</f>
        <v>-2</v>
      </c>
      <c r="O10" s="11" t="str">
        <f>IFERROR(__xludf.DUMMYFUNCTION("""COMPUTED_VALUE"""),"C")</f>
        <v>C</v>
      </c>
      <c r="P10" s="13">
        <f>IFERROR(__xludf.DUMMYFUNCTION("""COMPUTED_VALUE"""),1.0)</f>
        <v>1</v>
      </c>
      <c r="Q10" s="11" t="str">
        <f>IFERROR(__xludf.DUMMYFUNCTION("""COMPUTED_VALUE"""),"Keen Senses: Can't be surprised.")</f>
        <v>Keen Senses: Can't be surprised.</v>
      </c>
      <c r="R10" s="11"/>
      <c r="S10" s="11"/>
      <c r="T10" s="11"/>
      <c r="U10" s="11"/>
      <c r="V10" s="11"/>
      <c r="W10" s="11"/>
      <c r="X10" s="11"/>
      <c r="Y10" s="11"/>
      <c r="Z10" s="11"/>
      <c r="AA10" s="11"/>
      <c r="AB10" s="11"/>
    </row>
    <row r="11" ht="15.75" customHeight="1">
      <c r="A11" s="11" t="str">
        <f>IFERROR(__xludf.DUMMYFUNCTION("""COMPUTED_VALUE"""),"Guard")</f>
        <v>Guard</v>
      </c>
      <c r="B11" s="12">
        <f>IFERROR(__xludf.DUMMYFUNCTION("""COMPUTED_VALUE"""),0.125)</f>
        <v>0.125</v>
      </c>
      <c r="C11" s="11" t="str">
        <f>IFERROR(__xludf.DUMMYFUNCTION("""COMPUTED_VALUE"""),"CR")</f>
        <v>CR</v>
      </c>
      <c r="D11" s="11" t="str">
        <f>IFERROR(__xludf.DUMMYFUNCTION("""COMPUTED_VALUE"""),"A sentry equipped with sturdy weapons and armor.")</f>
        <v>A sentry equipped with sturdy weapons and armor.</v>
      </c>
      <c r="E11" s="11">
        <f>IFERROR(__xludf.DUMMYFUNCTION("""COMPUTED_VALUE"""),15.0)</f>
        <v>15</v>
      </c>
      <c r="F11" s="11">
        <f>IFERROR(__xludf.DUMMYFUNCTION("""COMPUTED_VALUE"""),4.0)</f>
        <v>4</v>
      </c>
      <c r="G11" s="11" t="str">
        <f>IFERROR(__xludf.DUMMYFUNCTION("""COMPUTED_VALUE"""),"1 spear +1 (1d6)")</f>
        <v>1 spear +1 (1d6)</v>
      </c>
      <c r="H11" s="11" t="str">
        <f>IFERROR(__xludf.DUMMYFUNCTION("""COMPUTED_VALUE"""),"near")</f>
        <v>near</v>
      </c>
      <c r="I11" s="11">
        <f>IFERROR(__xludf.DUMMYFUNCTION("""COMPUTED_VALUE"""),1.0)</f>
        <v>1</v>
      </c>
      <c r="J11" s="11">
        <f>IFERROR(__xludf.DUMMYFUNCTION("""COMPUTED_VALUE"""),0.0)</f>
        <v>0</v>
      </c>
      <c r="K11" s="11">
        <f>IFERROR(__xludf.DUMMYFUNCTION("""COMPUTED_VALUE"""),0.0)</f>
        <v>0</v>
      </c>
      <c r="L11" s="11">
        <f>IFERROR(__xludf.DUMMYFUNCTION("""COMPUTED_VALUE"""),0.0)</f>
        <v>0</v>
      </c>
      <c r="M11" s="11">
        <f>IFERROR(__xludf.DUMMYFUNCTION("""COMPUTED_VALUE"""),1.0)</f>
        <v>1</v>
      </c>
      <c r="N11" s="11">
        <f>IFERROR(__xludf.DUMMYFUNCTION("""COMPUTED_VALUE"""),0.0)</f>
        <v>0</v>
      </c>
      <c r="O11" s="11" t="str">
        <f>IFERROR(__xludf.DUMMYFUNCTION("""COMPUTED_VALUE"""),"L")</f>
        <v>L</v>
      </c>
      <c r="P11" s="13">
        <f>IFERROR(__xludf.DUMMYFUNCTION("""COMPUTED_VALUE"""),1.0)</f>
        <v>1</v>
      </c>
      <c r="Q11" s="11"/>
      <c r="R11" s="11"/>
      <c r="S11" s="11"/>
      <c r="T11" s="11"/>
      <c r="U11" s="11"/>
      <c r="V11" s="11"/>
      <c r="W11" s="11"/>
      <c r="X11" s="11"/>
      <c r="Y11" s="11"/>
      <c r="Z11" s="11"/>
      <c r="AA11" s="11"/>
      <c r="AB11" s="11"/>
    </row>
    <row r="12" ht="15.75" customHeight="1">
      <c r="A12" s="11" t="str">
        <f>IFERROR(__xludf.DUMMYFUNCTION("""COMPUTED_VALUE"""),"Jellyfish")</f>
        <v>Jellyfish</v>
      </c>
      <c r="B12" s="12" t="str">
        <f>IFERROR(__xludf.DUMMYFUNCTION("""COMPUTED_VALUE"""),"")</f>
        <v/>
      </c>
      <c r="C12" s="11" t="str">
        <f>IFERROR(__xludf.DUMMYFUNCTION("""COMPUTED_VALUE"""),"CR")</f>
        <v>CR</v>
      </c>
      <c r="D12" s="11" t="str">
        <f>IFERROR(__xludf.DUMMYFUNCTION("""COMPUTED_VALUE"""),"Hand-sized, purple sea jellies with stinging tentacles.")</f>
        <v>Hand-sized, purple sea jellies with stinging tentacles.</v>
      </c>
      <c r="E12" s="11">
        <f>IFERROR(__xludf.DUMMYFUNCTION("""COMPUTED_VALUE"""),11.0)</f>
        <v>11</v>
      </c>
      <c r="F12" s="11">
        <f>IFERROR(__xludf.DUMMYFUNCTION("""COMPUTED_VALUE"""),1.0)</f>
        <v>1</v>
      </c>
      <c r="G12" s="11" t="str">
        <f>IFERROR(__xludf.DUMMYFUNCTION("""COMPUTED_VALUE"""),"1 sting +1 (1 + toxin)")</f>
        <v>1 sting +1 (1 + toxin)</v>
      </c>
      <c r="H12" s="11" t="str">
        <f>IFERROR(__xludf.DUMMYFUNCTION("""COMPUTED_VALUE"""),"close (swim)")</f>
        <v>close (swim)</v>
      </c>
      <c r="I12" s="11">
        <f>IFERROR(__xludf.DUMMYFUNCTION("""COMPUTED_VALUE"""),-4.0)</f>
        <v>-4</v>
      </c>
      <c r="J12" s="11">
        <f>IFERROR(__xludf.DUMMYFUNCTION("""COMPUTED_VALUE"""),1.0)</f>
        <v>1</v>
      </c>
      <c r="K12" s="11">
        <f>IFERROR(__xludf.DUMMYFUNCTION("""COMPUTED_VALUE"""),0.0)</f>
        <v>0</v>
      </c>
      <c r="L12" s="11">
        <f>IFERROR(__xludf.DUMMYFUNCTION("""COMPUTED_VALUE"""),-4.0)</f>
        <v>-4</v>
      </c>
      <c r="M12" s="11">
        <f>IFERROR(__xludf.DUMMYFUNCTION("""COMPUTED_VALUE"""),1.0)</f>
        <v>1</v>
      </c>
      <c r="N12" s="11">
        <f>IFERROR(__xludf.DUMMYFUNCTION("""COMPUTED_VALUE"""),-4.0)</f>
        <v>-4</v>
      </c>
      <c r="O12" s="11" t="str">
        <f>IFERROR(__xludf.DUMMYFUNCTION("""COMPUTED_VALUE"""),"N")</f>
        <v>N</v>
      </c>
      <c r="P12" s="13">
        <f>IFERROR(__xludf.DUMMYFUNCTION("""COMPUTED_VALUE"""),0.0)</f>
        <v>0</v>
      </c>
      <c r="Q12" s="11" t="str">
        <f>IFERROR(__xludf.DUMMYFUNCTION("""COMPUTED_VALUE"""),"Toxin. DC 9 CON or paralyzed 1d4 rounds.")</f>
        <v>Toxin. DC 9 CON or paralyzed 1d4 rounds.</v>
      </c>
      <c r="R12" s="11"/>
      <c r="S12" s="11"/>
      <c r="T12" s="11"/>
      <c r="U12" s="11"/>
      <c r="V12" s="11"/>
      <c r="W12" s="11"/>
      <c r="X12" s="11"/>
      <c r="Y12" s="11"/>
      <c r="Z12" s="11"/>
      <c r="AA12" s="11"/>
      <c r="AB12" s="11"/>
    </row>
    <row r="13" ht="15.75" customHeight="1">
      <c r="A13" s="11" t="str">
        <f>IFERROR(__xludf.DUMMYFUNCTION("""COMPUTED_VALUE"""),"Kobold")</f>
        <v>Kobold</v>
      </c>
      <c r="B13" s="12">
        <f>IFERROR(__xludf.DUMMYFUNCTION("""COMPUTED_VALUE"""),0.125)</f>
        <v>0.125</v>
      </c>
      <c r="C13" s="11" t="str">
        <f>IFERROR(__xludf.DUMMYFUNCTION("""COMPUTED_VALUE"""),"CR")</f>
        <v>CR</v>
      </c>
      <c r="D13" s="11" t="str">
        <f>IFERROR(__xludf.DUMMYFUNCTION("""COMPUTED_VALUE"""),"Puny, scaled coyote-lizards that dwell underground.")</f>
        <v>Puny, scaled coyote-lizards that dwell underground.</v>
      </c>
      <c r="E13" s="11">
        <f>IFERROR(__xludf.DUMMYFUNCTION("""COMPUTED_VALUE"""),13.0)</f>
        <v>13</v>
      </c>
      <c r="F13" s="11">
        <f>IFERROR(__xludf.DUMMYFUNCTION("""COMPUTED_VALUE"""),1.0)</f>
        <v>1</v>
      </c>
      <c r="G13" s="11" t="str">
        <f>IFERROR(__xludf.DUMMYFUNCTION("""COMPUTED_VALUE"""),"1 spear (close/near) +0 (1d6)")</f>
        <v>1 spear (close/near) +0 (1d6)</v>
      </c>
      <c r="H13" s="11" t="str">
        <f>IFERROR(__xludf.DUMMYFUNCTION("""COMPUTED_VALUE"""),"near")</f>
        <v>near</v>
      </c>
      <c r="I13" s="11">
        <f>IFERROR(__xludf.DUMMYFUNCTION("""COMPUTED_VALUE"""),-2.0)</f>
        <v>-2</v>
      </c>
      <c r="J13" s="11">
        <f>IFERROR(__xludf.DUMMYFUNCTION("""COMPUTED_VALUE"""),2.0)</f>
        <v>2</v>
      </c>
      <c r="K13" s="11">
        <f>IFERROR(__xludf.DUMMYFUNCTION("""COMPUTED_VALUE"""),0.0)</f>
        <v>0</v>
      </c>
      <c r="L13" s="11">
        <f>IFERROR(__xludf.DUMMYFUNCTION("""COMPUTED_VALUE"""),-1.0)</f>
        <v>-1</v>
      </c>
      <c r="M13" s="11">
        <f>IFERROR(__xludf.DUMMYFUNCTION("""COMPUTED_VALUE"""),0.0)</f>
        <v>0</v>
      </c>
      <c r="N13" s="11">
        <f>IFERROR(__xludf.DUMMYFUNCTION("""COMPUTED_VALUE"""),-1.0)</f>
        <v>-1</v>
      </c>
      <c r="O13" s="11" t="str">
        <f>IFERROR(__xludf.DUMMYFUNCTION("""COMPUTED_VALUE"""),"C")</f>
        <v>C</v>
      </c>
      <c r="P13" s="13">
        <f>IFERROR(__xludf.DUMMYFUNCTION("""COMPUTED_VALUE"""),0.0)</f>
        <v>0</v>
      </c>
      <c r="Q13" s="14" t="str">
        <f>IFERROR(__xludf.DUMMYFUNCTION("""COMPUTED_VALUE"""),"Dodge. 1/day, an attack that would hit misses instead.")</f>
        <v>Dodge. 1/day, an attack that would hit misses instead.</v>
      </c>
      <c r="R13" s="14"/>
      <c r="S13" s="14"/>
      <c r="T13" s="14"/>
      <c r="U13" s="14"/>
      <c r="V13" s="14"/>
      <c r="W13" s="11"/>
      <c r="X13" s="11"/>
      <c r="Y13" s="11"/>
      <c r="Z13" s="11"/>
      <c r="AA13" s="11"/>
      <c r="AB13" s="11"/>
    </row>
    <row r="14" ht="15.75" customHeight="1">
      <c r="A14" s="11" t="str">
        <f>IFERROR(__xludf.DUMMYFUNCTION("""COMPUTED_VALUE"""),"Mastiff")</f>
        <v>Mastiff</v>
      </c>
      <c r="B14" s="12">
        <f>IFERROR(__xludf.DUMMYFUNCTION("""COMPUTED_VALUE"""),0.125)</f>
        <v>0.125</v>
      </c>
      <c r="C14" s="11" t="str">
        <f>IFERROR(__xludf.DUMMYFUNCTION("""COMPUTED_VALUE"""),"CR")</f>
        <v>CR</v>
      </c>
      <c r="D14" s="11" t="str">
        <f>IFERROR(__xludf.DUMMYFUNCTION("""COMPUTED_VALUE"""),"Muscled guard dogs with fierce")</f>
        <v>Muscled guard dogs with fierce</v>
      </c>
      <c r="E14" s="11">
        <f>IFERROR(__xludf.DUMMYFUNCTION("""COMPUTED_VALUE"""),11.0)</f>
        <v>11</v>
      </c>
      <c r="F14" s="11">
        <f>IFERROR(__xludf.DUMMYFUNCTION("""COMPUTED_VALUE"""),4.0)</f>
        <v>4</v>
      </c>
      <c r="G14" s="11" t="str">
        <f>IFERROR(__xludf.DUMMYFUNCTION("""COMPUTED_VALUE"""),"1 bite +1 (1d6)")</f>
        <v>1 bite +1 (1d6)</v>
      </c>
      <c r="H14" s="11" t="str">
        <f>IFERROR(__xludf.DUMMYFUNCTION("""COMPUTED_VALUE"""),"near")</f>
        <v>near</v>
      </c>
      <c r="I14" s="11">
        <f>IFERROR(__xludf.DUMMYFUNCTION("""COMPUTED_VALUE"""),1.0)</f>
        <v>1</v>
      </c>
      <c r="J14" s="11">
        <f>IFERROR(__xludf.DUMMYFUNCTION("""COMPUTED_VALUE"""),1.0)</f>
        <v>1</v>
      </c>
      <c r="K14" s="11">
        <f>IFERROR(__xludf.DUMMYFUNCTION("""COMPUTED_VALUE"""),0.0)</f>
        <v>0</v>
      </c>
      <c r="L14" s="11">
        <f>IFERROR(__xludf.DUMMYFUNCTION("""COMPUTED_VALUE"""),-2.0)</f>
        <v>-2</v>
      </c>
      <c r="M14" s="11">
        <f>IFERROR(__xludf.DUMMYFUNCTION("""COMPUTED_VALUE"""),1.0)</f>
        <v>1</v>
      </c>
      <c r="N14" s="11">
        <f>IFERROR(__xludf.DUMMYFUNCTION("""COMPUTED_VALUE"""),-2.0)</f>
        <v>-2</v>
      </c>
      <c r="O14" s="11" t="str">
        <f>IFERROR(__xludf.DUMMYFUNCTION("""COMPUTED_VALUE"""),"N")</f>
        <v>N</v>
      </c>
      <c r="P14" s="13">
        <f>IFERROR(__xludf.DUMMYFUNCTION("""COMPUTED_VALUE"""),1.0)</f>
        <v>1</v>
      </c>
      <c r="Q14" s="11"/>
      <c r="R14" s="11"/>
      <c r="S14" s="11"/>
      <c r="T14" s="11"/>
      <c r="U14" s="11"/>
      <c r="V14" s="11"/>
      <c r="W14" s="11"/>
      <c r="X14" s="11"/>
      <c r="Y14" s="11"/>
      <c r="Z14" s="11"/>
      <c r="AA14" s="11"/>
      <c r="AB14" s="11"/>
    </row>
    <row r="15" ht="15.75" customHeight="1">
      <c r="A15" s="11" t="str">
        <f>IFERROR(__xludf.DUMMYFUNCTION("""COMPUTED_VALUE"""),"Orc")</f>
        <v>Orc</v>
      </c>
      <c r="B15" s="12">
        <f>IFERROR(__xludf.DUMMYFUNCTION("""COMPUTED_VALUE"""),0.5)</f>
        <v>0.5</v>
      </c>
      <c r="C15" s="11" t="str">
        <f>IFERROR(__xludf.DUMMYFUNCTION("""COMPUTED_VALUE"""),"CR")</f>
        <v>CR</v>
      </c>
      <c r="D15" s="11" t="str">
        <f>IFERROR(__xludf.DUMMYFUNCTION("""COMPUTED_VALUE"""),"A tusked, tall humanoid with gray skin and pointed ears.")</f>
        <v>A tusked, tall humanoid with gray skin and pointed ears.</v>
      </c>
      <c r="E15" s="11">
        <f>IFERROR(__xludf.DUMMYFUNCTION("""COMPUTED_VALUE"""),15.0)</f>
        <v>15</v>
      </c>
      <c r="F15" s="11">
        <f>IFERROR(__xludf.DUMMYFUNCTION("""COMPUTED_VALUE"""),4.0)</f>
        <v>4</v>
      </c>
      <c r="G15" s="11" t="str">
        <f>IFERROR(__xludf.DUMMYFUNCTION("""COMPUTED_VALUE"""),"1 greataxe +2 (1d8)")</f>
        <v>1 greataxe +2 (1d8)</v>
      </c>
      <c r="H15" s="11" t="str">
        <f>IFERROR(__xludf.DUMMYFUNCTION("""COMPUTED_VALUE"""),"near")</f>
        <v>near</v>
      </c>
      <c r="I15" s="11">
        <f>IFERROR(__xludf.DUMMYFUNCTION("""COMPUTED_VALUE"""),2.0)</f>
        <v>2</v>
      </c>
      <c r="J15" s="11">
        <f>IFERROR(__xludf.DUMMYFUNCTION("""COMPUTED_VALUE"""),0.0)</f>
        <v>0</v>
      </c>
      <c r="K15" s="11">
        <f>IFERROR(__xludf.DUMMYFUNCTION("""COMPUTED_VALUE"""),0.0)</f>
        <v>0</v>
      </c>
      <c r="L15" s="11">
        <f>IFERROR(__xludf.DUMMYFUNCTION("""COMPUTED_VALUE"""),-1.0)</f>
        <v>-1</v>
      </c>
      <c r="M15" s="11">
        <f>IFERROR(__xludf.DUMMYFUNCTION("""COMPUTED_VALUE"""),0.0)</f>
        <v>0</v>
      </c>
      <c r="N15" s="11">
        <f>IFERROR(__xludf.DUMMYFUNCTION("""COMPUTED_VALUE"""),-1.0)</f>
        <v>-1</v>
      </c>
      <c r="O15" s="11" t="str">
        <f>IFERROR(__xludf.DUMMYFUNCTION("""COMPUTED_VALUE"""),"C")</f>
        <v>C</v>
      </c>
      <c r="P15" s="13">
        <f>IFERROR(__xludf.DUMMYFUNCTION("""COMPUTED_VALUE"""),1.0)</f>
        <v>1</v>
      </c>
      <c r="Q15" s="11" t="str">
        <f>IFERROR(__xludf.DUMMYFUNCTION("""COMPUTED_VALUE"""),"Rage. 1/day, immune to morale checks, +1d4 damage (3 rounds).")</f>
        <v>Rage. 1/day, immune to morale checks, +1d4 damage (3 rounds).</v>
      </c>
      <c r="R15" s="11"/>
      <c r="S15" s="11"/>
      <c r="T15" s="11"/>
      <c r="U15" s="11"/>
      <c r="V15" s="11"/>
      <c r="W15" s="11"/>
      <c r="X15" s="11"/>
      <c r="Y15" s="11"/>
      <c r="Z15" s="11"/>
      <c r="AA15" s="11"/>
      <c r="AB15" s="11"/>
    </row>
    <row r="16" ht="15.75" customHeight="1">
      <c r="A16" s="11" t="str">
        <f>IFERROR(__xludf.DUMMYFUNCTION("""COMPUTED_VALUE"""),"Peasant")</f>
        <v>Peasant</v>
      </c>
      <c r="B16" s="12" t="str">
        <f>IFERROR(__xludf.DUMMYFUNCTION("""COMPUTED_VALUE"""),"")</f>
        <v/>
      </c>
      <c r="C16" s="11" t="str">
        <f>IFERROR(__xludf.DUMMYFUNCTION("""COMPUTED_VALUE"""),"CR")</f>
        <v>CR</v>
      </c>
      <c r="D16" s="11" t="str">
        <f>IFERROR(__xludf.DUMMYFUNCTION("""COMPUTED_VALUE"""),"A commoner in worn clothes.")</f>
        <v>A commoner in worn clothes.</v>
      </c>
      <c r="E16" s="11">
        <f>IFERROR(__xludf.DUMMYFUNCTION("""COMPUTED_VALUE"""),10.0)</f>
        <v>10</v>
      </c>
      <c r="F16" s="11">
        <f>IFERROR(__xludf.DUMMYFUNCTION("""COMPUTED_VALUE"""),4.0)</f>
        <v>4</v>
      </c>
      <c r="G16" s="11" t="str">
        <f>IFERROR(__xludf.DUMMYFUNCTION("""COMPUTED_VALUE"""),"1 club +0 (1d4)")</f>
        <v>1 club +0 (1d4)</v>
      </c>
      <c r="H16" s="11" t="str">
        <f>IFERROR(__xludf.DUMMYFUNCTION("""COMPUTED_VALUE"""),"near")</f>
        <v>near</v>
      </c>
      <c r="I16" s="11">
        <f>IFERROR(__xludf.DUMMYFUNCTION("""COMPUTED_VALUE"""),0.0)</f>
        <v>0</v>
      </c>
      <c r="J16" s="11">
        <f>IFERROR(__xludf.DUMMYFUNCTION("""COMPUTED_VALUE"""),0.0)</f>
        <v>0</v>
      </c>
      <c r="K16" s="11">
        <f>IFERROR(__xludf.DUMMYFUNCTION("""COMPUTED_VALUE"""),0.0)</f>
        <v>0</v>
      </c>
      <c r="L16" s="11">
        <f>IFERROR(__xludf.DUMMYFUNCTION("""COMPUTED_VALUE"""),0.0)</f>
        <v>0</v>
      </c>
      <c r="M16" s="11">
        <f>IFERROR(__xludf.DUMMYFUNCTION("""COMPUTED_VALUE"""),0.0)</f>
        <v>0</v>
      </c>
      <c r="N16" s="11">
        <f>IFERROR(__xludf.DUMMYFUNCTION("""COMPUTED_VALUE"""),0.0)</f>
        <v>0</v>
      </c>
      <c r="O16" s="11" t="str">
        <f>IFERROR(__xludf.DUMMYFUNCTION("""COMPUTED_VALUE"""),"L")</f>
        <v>L</v>
      </c>
      <c r="P16" s="13">
        <f>IFERROR(__xludf.DUMMYFUNCTION("""COMPUTED_VALUE"""),1.0)</f>
        <v>1</v>
      </c>
      <c r="Q16" s="11"/>
      <c r="R16" s="11"/>
      <c r="S16" s="11"/>
      <c r="T16" s="11"/>
      <c r="U16" s="11"/>
      <c r="V16" s="11"/>
      <c r="W16" s="11"/>
      <c r="X16" s="11"/>
      <c r="Y16" s="11"/>
      <c r="Z16" s="11"/>
      <c r="AA16" s="11"/>
      <c r="AB16" s="11"/>
    </row>
    <row r="17" ht="15.75" customHeight="1">
      <c r="A17" s="11" t="str">
        <f>IFERROR(__xludf.DUMMYFUNCTION("""COMPUTED_VALUE"""),"Pirate")</f>
        <v>Pirate</v>
      </c>
      <c r="B17" s="12" t="str">
        <f>IFERROR(__xludf.DUMMYFUNCTION("""COMPUTED_VALUE"""),"")</f>
        <v/>
      </c>
      <c r="C17" s="11" t="str">
        <f>IFERROR(__xludf.DUMMYFUNCTION("""COMPUTED_VALUE"""),"CR")</f>
        <v>CR</v>
      </c>
      <c r="D17" s="11" t="str">
        <f>IFERROR(__xludf.DUMMYFUNCTION("""COMPUTED_VALUE"""),"Seafaring scoundrels who live to steal and hoard treasure.")</f>
        <v>Seafaring scoundrels who live to steal and hoard treasure.</v>
      </c>
      <c r="E17" s="11" t="str">
        <f>IFERROR(__xludf.DUMMYFUNCTION("""COMPUTED_VALUE"""),"12 (leather)")</f>
        <v>12 (leather)</v>
      </c>
      <c r="F17" s="11">
        <f>IFERROR(__xludf.DUMMYFUNCTION("""COMPUTED_VALUE"""),4.0)</f>
        <v>4</v>
      </c>
      <c r="G17" s="11" t="str">
        <f>IFERROR(__xludf.DUMMYFUNCTION("""COMPUTED_VALUE"""),"1 cutlass +1 (1d6) or 1 dagger (close/near) +1 (1d4)")</f>
        <v>1 cutlass +1 (1d6) or 1 dagger (close/near) +1 (1d4)</v>
      </c>
      <c r="H17" s="11" t="str">
        <f>IFERROR(__xludf.DUMMYFUNCTION("""COMPUTED_VALUE"""),"near")</f>
        <v>near</v>
      </c>
      <c r="I17" s="11">
        <f>IFERROR(__xludf.DUMMYFUNCTION("""COMPUTED_VALUE"""),1.0)</f>
        <v>1</v>
      </c>
      <c r="J17" s="11">
        <f>IFERROR(__xludf.DUMMYFUNCTION("""COMPUTED_VALUE"""),1.0)</f>
        <v>1</v>
      </c>
      <c r="K17" s="11">
        <f>IFERROR(__xludf.DUMMYFUNCTION("""COMPUTED_VALUE"""),0.0)</f>
        <v>0</v>
      </c>
      <c r="L17" s="11">
        <f>IFERROR(__xludf.DUMMYFUNCTION("""COMPUTED_VALUE"""),0.0)</f>
        <v>0</v>
      </c>
      <c r="M17" s="11">
        <f>IFERROR(__xludf.DUMMYFUNCTION("""COMPUTED_VALUE"""),0.0)</f>
        <v>0</v>
      </c>
      <c r="N17" s="11">
        <f>IFERROR(__xludf.DUMMYFUNCTION("""COMPUTED_VALUE"""),0.0)</f>
        <v>0</v>
      </c>
      <c r="O17" s="11" t="str">
        <f>IFERROR(__xludf.DUMMYFUNCTION("""COMPUTED_VALUE"""),"C")</f>
        <v>C</v>
      </c>
      <c r="P17" s="13">
        <f>IFERROR(__xludf.DUMMYFUNCTION("""COMPUTED_VALUE"""),1.0)</f>
        <v>1</v>
      </c>
      <c r="Q17" s="11"/>
      <c r="R17" s="11"/>
      <c r="S17" s="11"/>
      <c r="T17" s="11"/>
      <c r="U17" s="11"/>
      <c r="V17" s="11"/>
      <c r="W17" s="11"/>
      <c r="X17" s="11"/>
      <c r="Y17" s="11"/>
      <c r="Z17" s="11"/>
      <c r="AA17" s="11"/>
      <c r="AB17" s="11"/>
    </row>
    <row r="18" ht="15.75" customHeight="1">
      <c r="A18" s="11" t="str">
        <f>IFERROR(__xludf.DUMMYFUNCTION("""COMPUTED_VALUE"""),"Rat")</f>
        <v>Rat</v>
      </c>
      <c r="B18" s="12">
        <f>IFERROR(__xludf.DUMMYFUNCTION("""COMPUTED_VALUE"""),0.0)</f>
        <v>0</v>
      </c>
      <c r="C18" s="11" t="str">
        <f>IFERROR(__xludf.DUMMYFUNCTION("""COMPUTED_VALUE"""),"CR")</f>
        <v>CR</v>
      </c>
      <c r="D18" s="11" t="str">
        <f>IFERROR(__xludf.DUMMYFUNCTION("""COMPUTED_VALUE"""),"Rangy, plague-carrying rodents that infest underground places.")</f>
        <v>Rangy, plague-carrying rodents that infest underground places.</v>
      </c>
      <c r="E18" s="11">
        <f>IFERROR(__xludf.DUMMYFUNCTION("""COMPUTED_VALUE"""),10.0)</f>
        <v>10</v>
      </c>
      <c r="F18" s="11">
        <f>IFERROR(__xludf.DUMMYFUNCTION("""COMPUTED_VALUE"""),1.0)</f>
        <v>1</v>
      </c>
      <c r="G18" s="11" t="str">
        <f>IFERROR(__xludf.DUMMYFUNCTION("""COMPUTED_VALUE"""),"1 bite +0 (1 + disease)")</f>
        <v>1 bite +0 (1 + disease)</v>
      </c>
      <c r="H18" s="11" t="str">
        <f>IFERROR(__xludf.DUMMYFUNCTION("""COMPUTED_VALUE"""),"near")</f>
        <v>near</v>
      </c>
      <c r="I18" s="11">
        <f>IFERROR(__xludf.DUMMYFUNCTION("""COMPUTED_VALUE"""),-3.0)</f>
        <v>-3</v>
      </c>
      <c r="J18" s="11">
        <f>IFERROR(__xludf.DUMMYFUNCTION("""COMPUTED_VALUE"""),0.0)</f>
        <v>0</v>
      </c>
      <c r="K18" s="11">
        <f>IFERROR(__xludf.DUMMYFUNCTION("""COMPUTED_VALUE"""),1.0)</f>
        <v>1</v>
      </c>
      <c r="L18" s="11">
        <f>IFERROR(__xludf.DUMMYFUNCTION("""COMPUTED_VALUE"""),-3.0)</f>
        <v>-3</v>
      </c>
      <c r="M18" s="11">
        <f>IFERROR(__xludf.DUMMYFUNCTION("""COMPUTED_VALUE"""),1.0)</f>
        <v>1</v>
      </c>
      <c r="N18" s="11">
        <f>IFERROR(__xludf.DUMMYFUNCTION("""COMPUTED_VALUE"""),-3.0)</f>
        <v>-3</v>
      </c>
      <c r="O18" s="11" t="str">
        <f>IFERROR(__xludf.DUMMYFUNCTION("""COMPUTED_VALUE"""),"N")</f>
        <v>N</v>
      </c>
      <c r="P18" s="13">
        <f>IFERROR(__xludf.DUMMYFUNCTION("""COMPUTED_VALUE"""),0.0)</f>
        <v>0</v>
      </c>
      <c r="Q18" s="11" t="str">
        <f>IFERROR(__xludf.DUMMYFUNCTION("""COMPUTED_VALUE"""),"Disease. DC 9 CON or 1d4 CON damage (can't heal while ill). Repeat check once per day; ends on success. Die at 0 CON.")</f>
        <v>Disease. DC 9 CON or 1d4 CON damage (can't heal while ill). Repeat check once per day; ends on success. Die at 0 CON.</v>
      </c>
      <c r="R18" s="11"/>
      <c r="S18" s="11"/>
      <c r="T18" s="11"/>
      <c r="U18" s="11"/>
      <c r="V18" s="11"/>
      <c r="W18" s="11"/>
      <c r="X18" s="11"/>
      <c r="Y18" s="11"/>
      <c r="Z18" s="11"/>
      <c r="AA18" s="11"/>
      <c r="AB18" s="11"/>
    </row>
    <row r="19" ht="15.75" customHeight="1">
      <c r="A19" s="11" t="str">
        <f>IFERROR(__xludf.DUMMYFUNCTION("""COMPUTED_VALUE"""),"Rat, Giant")</f>
        <v>Rat, Giant</v>
      </c>
      <c r="B19" s="12">
        <f>IFERROR(__xludf.DUMMYFUNCTION("""COMPUTED_VALUE"""),0.125)</f>
        <v>0.125</v>
      </c>
      <c r="C19" s="11" t="str">
        <f>IFERROR(__xludf.DUMMYFUNCTION("""COMPUTED_VALUE"""),"CR")</f>
        <v>CR</v>
      </c>
      <c r="D19" s="11" t="str">
        <f>IFERROR(__xludf.DUMMYFUNCTION("""COMPUTED_VALUE"""),"Cunning rats as large as cats. Mangy fur and wormlike tails.")</f>
        <v>Cunning rats as large as cats. Mangy fur and wormlike tails.</v>
      </c>
      <c r="E19" s="11">
        <f>IFERROR(__xludf.DUMMYFUNCTION("""COMPUTED_VALUE"""),11.0)</f>
        <v>11</v>
      </c>
      <c r="F19" s="11">
        <f>IFERROR(__xludf.DUMMYFUNCTION("""COMPUTED_VALUE"""),5.0)</f>
        <v>5</v>
      </c>
      <c r="G19" s="11" t="str">
        <f>IFERROR(__xludf.DUMMYFUNCTION("""COMPUTED_VALUE"""),"1 bite +1 (1d4 + disease)")</f>
        <v>1 bite +1 (1d4 + disease)</v>
      </c>
      <c r="H19" s="11" t="str">
        <f>IFERROR(__xludf.DUMMYFUNCTION("""COMPUTED_VALUE"""),"near")</f>
        <v>near</v>
      </c>
      <c r="I19" s="11">
        <f>IFERROR(__xludf.DUMMYFUNCTION("""COMPUTED_VALUE"""),-2.0)</f>
        <v>-2</v>
      </c>
      <c r="J19" s="11">
        <f>IFERROR(__xludf.DUMMYFUNCTION("""COMPUTED_VALUE"""),1.0)</f>
        <v>1</v>
      </c>
      <c r="K19" s="11">
        <f>IFERROR(__xludf.DUMMYFUNCTION("""COMPUTED_VALUE"""),1.0)</f>
        <v>1</v>
      </c>
      <c r="L19" s="11">
        <f>IFERROR(__xludf.DUMMYFUNCTION("""COMPUTED_VALUE"""),-2.0)</f>
        <v>-2</v>
      </c>
      <c r="M19" s="11">
        <f>IFERROR(__xludf.DUMMYFUNCTION("""COMPUTED_VALUE"""),1.0)</f>
        <v>1</v>
      </c>
      <c r="N19" s="11">
        <f>IFERROR(__xludf.DUMMYFUNCTION("""COMPUTED_VALUE"""),-2.0)</f>
        <v>-2</v>
      </c>
      <c r="O19" s="11" t="str">
        <f>IFERROR(__xludf.DUMMYFUNCTION("""COMPUTED_VALUE"""),"N")</f>
        <v>N</v>
      </c>
      <c r="P19" s="13">
        <f>IFERROR(__xludf.DUMMYFUNCTION("""COMPUTED_VALUE"""),1.0)</f>
        <v>1</v>
      </c>
      <c r="Q19" s="11" t="str">
        <f>IFERROR(__xludf.DUMMYFUNCTION("""COMPUTED_VALUE"""),"Disease. DC 12 CON or 1d4 CON damage (can't heal while ill). Repeat check once per day; ends on success. Die at 0 CON.")</f>
        <v>Disease. DC 12 CON or 1d4 CON damage (can't heal while ill). Repeat check once per day; ends on success. Die at 0 CON.</v>
      </c>
      <c r="R19" s="11"/>
      <c r="S19" s="11"/>
      <c r="T19" s="11"/>
      <c r="U19" s="11"/>
      <c r="V19" s="11"/>
      <c r="W19" s="11"/>
      <c r="X19" s="11"/>
      <c r="Y19" s="11"/>
      <c r="Z19" s="11"/>
      <c r="AA19" s="11"/>
      <c r="AB19" s="11"/>
    </row>
    <row r="20" ht="15.75" customHeight="1">
      <c r="A20" s="11" t="str">
        <f>IFERROR(__xludf.DUMMYFUNCTION("""COMPUTED_VALUE"""),"Scorpion")</f>
        <v>Scorpion</v>
      </c>
      <c r="B20" s="12">
        <f>IFERROR(__xludf.DUMMYFUNCTION("""COMPUTED_VALUE"""),0.0)</f>
        <v>0</v>
      </c>
      <c r="C20" s="11" t="str">
        <f>IFERROR(__xludf.DUMMYFUNCTION("""COMPUTED_VALUE"""),"CR")</f>
        <v>CR</v>
      </c>
      <c r="D20" s="11" t="str">
        <f>IFERROR(__xludf.DUMMYFUNCTION("""COMPUTED_VALUE"""),"Desert-dwelling arachnids with pincers and curved tail stingers.")</f>
        <v>Desert-dwelling arachnids with pincers and curved tail stingers.</v>
      </c>
      <c r="E20" s="11">
        <f>IFERROR(__xludf.DUMMYFUNCTION("""COMPUTED_VALUE"""),11.0)</f>
        <v>11</v>
      </c>
      <c r="F20" s="11">
        <f>IFERROR(__xludf.DUMMYFUNCTION("""COMPUTED_VALUE"""),1.0)</f>
        <v>1</v>
      </c>
      <c r="G20" s="11" t="str">
        <f>IFERROR(__xludf.DUMMYFUNCTION("""COMPUTED_VALUE"""),"1 sting +1 (1 + poison)")</f>
        <v>1 sting +1 (1 + poison)</v>
      </c>
      <c r="H20" s="11" t="str">
        <f>IFERROR(__xludf.DUMMYFUNCTION("""COMPUTED_VALUE"""),"near (climb)")</f>
        <v>near (climb)</v>
      </c>
      <c r="I20" s="11">
        <f>IFERROR(__xludf.DUMMYFUNCTION("""COMPUTED_VALUE"""),-4.0)</f>
        <v>-4</v>
      </c>
      <c r="J20" s="11">
        <f>IFERROR(__xludf.DUMMYFUNCTION("""COMPUTED_VALUE"""),1.0)</f>
        <v>1</v>
      </c>
      <c r="K20" s="11">
        <f>IFERROR(__xludf.DUMMYFUNCTION("""COMPUTED_VALUE"""),0.0)</f>
        <v>0</v>
      </c>
      <c r="L20" s="11">
        <f>IFERROR(__xludf.DUMMYFUNCTION("""COMPUTED_VALUE"""),-4.0)</f>
        <v>-4</v>
      </c>
      <c r="M20" s="11">
        <f>IFERROR(__xludf.DUMMYFUNCTION("""COMPUTED_VALUE"""),0.0)</f>
        <v>0</v>
      </c>
      <c r="N20" s="11">
        <f>IFERROR(__xludf.DUMMYFUNCTION("""COMPUTED_VALUE"""),-4.0)</f>
        <v>-4</v>
      </c>
      <c r="O20" s="11" t="str">
        <f>IFERROR(__xludf.DUMMYFUNCTION("""COMPUTED_VALUE"""),"N")</f>
        <v>N</v>
      </c>
      <c r="P20" s="13">
        <f>IFERROR(__xludf.DUMMYFUNCTION("""COMPUTED_VALUE"""),0.0)</f>
        <v>0</v>
      </c>
      <c r="Q20" s="11" t="str">
        <f>IFERROR(__xludf.DUMMYFUNCTION("""COMPUTED_VALUE"""),"Poison. DC 9 CON or go to 0 HP.")</f>
        <v>Poison. DC 9 CON or go to 0 HP.</v>
      </c>
      <c r="R20" s="11"/>
      <c r="S20" s="11"/>
      <c r="T20" s="11"/>
      <c r="U20" s="11"/>
      <c r="V20" s="11"/>
      <c r="W20" s="11"/>
      <c r="X20" s="11"/>
      <c r="Y20" s="11"/>
      <c r="Z20" s="11"/>
      <c r="AA20" s="11"/>
      <c r="AB20" s="11"/>
    </row>
    <row r="21" ht="15.75" customHeight="1">
      <c r="A21" s="11" t="str">
        <f>IFERROR(__xludf.DUMMYFUNCTION("""COMPUTED_VALUE"""),"Snake, Cobra")</f>
        <v>Snake, Cobra</v>
      </c>
      <c r="B21" s="12">
        <f>IFERROR(__xludf.DUMMYFUNCTION("""COMPUTED_VALUE"""),1.0)</f>
        <v>1</v>
      </c>
      <c r="C21" s="11" t="str">
        <f>IFERROR(__xludf.DUMMYFUNCTION("""COMPUTED_VALUE"""),"CR")</f>
        <v>CR</v>
      </c>
      <c r="D21" s="11" t="str">
        <f>IFERROR(__xludf.DUMMYFUNCTION("""COMPUTED_VALUE"""),"A weaving serpent with a neck hood and lethal venom.")</f>
        <v>A weaving serpent with a neck hood and lethal venom.</v>
      </c>
      <c r="E21" s="11">
        <f>IFERROR(__xludf.DUMMYFUNCTION("""COMPUTED_VALUE"""),12.0)</f>
        <v>12</v>
      </c>
      <c r="F21" s="11">
        <f>IFERROR(__xludf.DUMMYFUNCTION("""COMPUTED_VALUE"""),4.0)</f>
        <v>4</v>
      </c>
      <c r="G21" s="11" t="str">
        <f>IFERROR(__xludf.DUMMYFUNCTION("""COMPUTED_VALUE"""),"1 bite +2 (1 + poison)")</f>
        <v>1 bite +2 (1 + poison)</v>
      </c>
      <c r="H21" s="11" t="str">
        <f>IFERROR(__xludf.DUMMYFUNCTION("""COMPUTED_VALUE"""),"near")</f>
        <v>near</v>
      </c>
      <c r="I21" s="11">
        <f>IFERROR(__xludf.DUMMYFUNCTION("""COMPUTED_VALUE"""),-3.0)</f>
        <v>-3</v>
      </c>
      <c r="J21" s="11">
        <f>IFERROR(__xludf.DUMMYFUNCTION("""COMPUTED_VALUE"""),2.0)</f>
        <v>2</v>
      </c>
      <c r="K21" s="11">
        <f>IFERROR(__xludf.DUMMYFUNCTION("""COMPUTED_VALUE"""),0.0)</f>
        <v>0</v>
      </c>
      <c r="L21" s="11">
        <f>IFERROR(__xludf.DUMMYFUNCTION("""COMPUTED_VALUE"""),-3.0)</f>
        <v>-3</v>
      </c>
      <c r="M21" s="11">
        <f>IFERROR(__xludf.DUMMYFUNCTION("""COMPUTED_VALUE"""),0.0)</f>
        <v>0</v>
      </c>
      <c r="N21" s="11">
        <f>IFERROR(__xludf.DUMMYFUNCTION("""COMPUTED_VALUE"""),-3.0)</f>
        <v>-3</v>
      </c>
      <c r="O21" s="11" t="str">
        <f>IFERROR(__xludf.DUMMYFUNCTION("""COMPUTED_VALUE"""),"N")</f>
        <v>N</v>
      </c>
      <c r="P21" s="13">
        <f>IFERROR(__xludf.DUMMYFUNCTION("""COMPUTED_VALUE"""),1.0)</f>
        <v>1</v>
      </c>
      <c r="Q21" s="11" t="str">
        <f>IFERROR(__xludf.DUMMYFUNCTION("""COMPUTED_VALUE"""),"Poison. DC 18 CON or go to 0 HP with a death timer of 1.")</f>
        <v>Poison. DC 18 CON or go to 0 HP with a death timer of 1.</v>
      </c>
      <c r="R21" s="11"/>
      <c r="S21" s="11"/>
      <c r="T21" s="11"/>
      <c r="U21" s="11"/>
      <c r="V21" s="11"/>
      <c r="W21" s="11"/>
      <c r="X21" s="11"/>
      <c r="Y21" s="11"/>
      <c r="Z21" s="11"/>
      <c r="AA21" s="11"/>
      <c r="AB21" s="11"/>
    </row>
    <row r="22" ht="15.75" customHeight="1">
      <c r="A22" s="11" t="str">
        <f>IFERROR(__xludf.DUMMYFUNCTION("""COMPUTED_VALUE"""),"Spider")</f>
        <v>Spider</v>
      </c>
      <c r="B22" s="12">
        <f>IFERROR(__xludf.DUMMYFUNCTION("""COMPUTED_VALUE"""),0.0)</f>
        <v>0</v>
      </c>
      <c r="C22" s="11" t="str">
        <f>IFERROR(__xludf.DUMMYFUNCTION("""COMPUTED_VALUE"""),"CR")</f>
        <v>CR</v>
      </c>
      <c r="D22" s="11" t="str">
        <f>IFERROR(__xludf.DUMMYFUNCTION("""COMPUTED_VALUE"""),"Silent, web-weaving arachnids with a flesh-dissolving venom.")</f>
        <v>Silent, web-weaving arachnids with a flesh-dissolving venom.</v>
      </c>
      <c r="E22" s="11">
        <f>IFERROR(__xludf.DUMMYFUNCTION("""COMPUTED_VALUE"""),11.0)</f>
        <v>11</v>
      </c>
      <c r="F22" s="11">
        <f>IFERROR(__xludf.DUMMYFUNCTION("""COMPUTED_VALUE"""),1.0)</f>
        <v>1</v>
      </c>
      <c r="G22" s="11" t="str">
        <f>IFERROR(__xludf.DUMMYFUNCTION("""COMPUTED_VALUE"""),"1 bite +1 (1 + poison)")</f>
        <v>1 bite +1 (1 + poison)</v>
      </c>
      <c r="H22" s="11" t="str">
        <f>IFERROR(__xludf.DUMMYFUNCTION("""COMPUTED_VALUE"""),"near (climb)")</f>
        <v>near (climb)</v>
      </c>
      <c r="I22" s="11">
        <f>IFERROR(__xludf.DUMMYFUNCTION("""COMPUTED_VALUE"""),-4.0)</f>
        <v>-4</v>
      </c>
      <c r="J22" s="11">
        <f>IFERROR(__xludf.DUMMYFUNCTION("""COMPUTED_VALUE"""),1.0)</f>
        <v>1</v>
      </c>
      <c r="K22" s="11">
        <f>IFERROR(__xludf.DUMMYFUNCTION("""COMPUTED_VALUE"""),0.0)</f>
        <v>0</v>
      </c>
      <c r="L22" s="11">
        <f>IFERROR(__xludf.DUMMYFUNCTION("""COMPUTED_VALUE"""),-4.0)</f>
        <v>-4</v>
      </c>
      <c r="M22" s="11">
        <f>IFERROR(__xludf.DUMMYFUNCTION("""COMPUTED_VALUE"""),0.0)</f>
        <v>0</v>
      </c>
      <c r="N22" s="11">
        <f>IFERROR(__xludf.DUMMYFUNCTION("""COMPUTED_VALUE"""),-4.0)</f>
        <v>-4</v>
      </c>
      <c r="O22" s="11" t="str">
        <f>IFERROR(__xludf.DUMMYFUNCTION("""COMPUTED_VALUE"""),"N")</f>
        <v>N</v>
      </c>
      <c r="P22" s="13">
        <f>IFERROR(__xludf.DUMMYFUNCTION("""COMPUTED_VALUE"""),0.0)</f>
        <v>0</v>
      </c>
      <c r="Q22" s="11" t="str">
        <f>IFERROR(__xludf.DUMMYFUNCTION("""COMPUTED_VALUE"""),"Poison. DC 9 CON or take 1d4 damage.")</f>
        <v>Poison. DC 9 CON or take 1d4 damage.</v>
      </c>
      <c r="R22" s="11"/>
      <c r="S22" s="11"/>
      <c r="T22" s="11"/>
      <c r="U22" s="11"/>
      <c r="V22" s="11"/>
      <c r="W22" s="11"/>
      <c r="X22" s="11"/>
      <c r="Y22" s="11"/>
      <c r="Z22" s="11"/>
      <c r="AA22" s="11"/>
      <c r="AB22" s="11"/>
    </row>
    <row r="23" ht="15.75" customHeight="1">
      <c r="A23" s="11" t="str">
        <f>IFERROR(__xludf.DUMMYFUNCTION("""COMPUTED_VALUE"""),"Stingbat")</f>
        <v>Stingbat</v>
      </c>
      <c r="B23" s="12">
        <f>IFERROR(__xludf.DUMMYFUNCTION("""COMPUTED_VALUE"""),0.125)</f>
        <v>0.125</v>
      </c>
      <c r="C23" s="11" t="str">
        <f>IFERROR(__xludf.DUMMYFUNCTION("""COMPUTED_VALUE"""),"CR")</f>
        <v>CR</v>
      </c>
      <c r="D23" s="11" t="str">
        <f>IFERROR(__xludf.DUMMYFUNCTION("""COMPUTED_VALUE"""),"Darting, orange insect-bat with four wings and needlelike beak.")</f>
        <v>Darting, orange insect-bat with four wings and needlelike beak.</v>
      </c>
      <c r="E23" s="11">
        <f>IFERROR(__xludf.DUMMYFUNCTION("""COMPUTED_VALUE"""),12.0)</f>
        <v>12</v>
      </c>
      <c r="F23" s="11">
        <f>IFERROR(__xludf.DUMMYFUNCTION("""COMPUTED_VALUE"""),4.0)</f>
        <v>4</v>
      </c>
      <c r="G23" s="11" t="str">
        <f>IFERROR(__xludf.DUMMYFUNCTION("""COMPUTED_VALUE"""),"1 beak +2 (1d4 + blood drain)")</f>
        <v>1 beak +2 (1d4 + blood drain)</v>
      </c>
      <c r="H23" s="11" t="str">
        <f>IFERROR(__xludf.DUMMYFUNCTION("""COMPUTED_VALUE"""),"near (fly)")</f>
        <v>near (fly)</v>
      </c>
      <c r="I23" s="11">
        <f>IFERROR(__xludf.DUMMYFUNCTION("""COMPUTED_VALUE"""),-2.0)</f>
        <v>-2</v>
      </c>
      <c r="J23" s="11">
        <f>IFERROR(__xludf.DUMMYFUNCTION("""COMPUTED_VALUE"""),2.0)</f>
        <v>2</v>
      </c>
      <c r="K23" s="11">
        <f>IFERROR(__xludf.DUMMYFUNCTION("""COMPUTED_VALUE"""),0.0)</f>
        <v>0</v>
      </c>
      <c r="L23" s="11">
        <f>IFERROR(__xludf.DUMMYFUNCTION("""COMPUTED_VALUE"""),-2.0)</f>
        <v>-2</v>
      </c>
      <c r="M23" s="11">
        <f>IFERROR(__xludf.DUMMYFUNCTION("""COMPUTED_VALUE"""),0.0)</f>
        <v>0</v>
      </c>
      <c r="N23" s="11">
        <f>IFERROR(__xludf.DUMMYFUNCTION("""COMPUTED_VALUE"""),-2.0)</f>
        <v>-2</v>
      </c>
      <c r="O23" s="11" t="str">
        <f>IFERROR(__xludf.DUMMYFUNCTION("""COMPUTED_VALUE"""),"N")</f>
        <v>N</v>
      </c>
      <c r="P23" s="13">
        <f>IFERROR(__xludf.DUMMYFUNCTION("""COMPUTED_VALUE"""),1.0)</f>
        <v>1</v>
      </c>
      <c r="Q23" s="11" t="str">
        <f>IFERROR(__xludf.DUMMYFUNCTION("""COMPUTED_VALUE"""),"Blood Drain. Attach to bitten target; auto-hit the next round. DC 9 STR on turn to remove.")</f>
        <v>Blood Drain. Attach to bitten target; auto-hit the next round. DC 9 STR on turn to remove.</v>
      </c>
      <c r="R23" s="11"/>
      <c r="S23" s="11"/>
      <c r="T23" s="11"/>
      <c r="U23" s="11"/>
      <c r="V23" s="11"/>
      <c r="W23" s="11"/>
      <c r="X23" s="11"/>
      <c r="Y23" s="11"/>
      <c r="Z23" s="11"/>
      <c r="AA23" s="11"/>
      <c r="AB23" s="11"/>
    </row>
    <row r="24" ht="15.75" customHeight="1">
      <c r="A24" s="11" t="str">
        <f>IFERROR(__xludf.DUMMYFUNCTION("""COMPUTED_VALUE"""),"Thug")</f>
        <v>Thug</v>
      </c>
      <c r="B24" s="12">
        <f>IFERROR(__xludf.DUMMYFUNCTION("""COMPUTED_VALUE"""),0.5)</f>
        <v>0.5</v>
      </c>
      <c r="C24" s="11" t="str">
        <f>IFERROR(__xludf.DUMMYFUNCTION("""COMPUTED_VALUE"""),"CR")</f>
        <v>CR</v>
      </c>
      <c r="D24" s="11" t="str">
        <f>IFERROR(__xludf.DUMMYFUNCTION("""COMPUTED_VALUE"""),"A bruised and boorish ruffian.")</f>
        <v>A bruised and boorish ruffian.</v>
      </c>
      <c r="E24" s="11" t="str">
        <f>IFERROR(__xludf.DUMMYFUNCTION("""COMPUTED_VALUE"""),"13 (leather + shield)")</f>
        <v>13 (leather + shield)</v>
      </c>
      <c r="F24" s="11" t="str">
        <f>IFERROR(__xludf.DUMMYFUNCTION("""COMPUTED_VALUE"""),"4")</f>
        <v>4</v>
      </c>
      <c r="G24" s="14" t="str">
        <f>IFERROR(__xludf.DUMMYFUNCTION("""COMPUTED_VALUE"""),"1 shortsword +1 (1d6)")</f>
        <v>1 shortsword +1 (1d6)</v>
      </c>
      <c r="H24" s="11" t="str">
        <f>IFERROR(__xludf.DUMMYFUNCTION("""COMPUTED_VALUE"""),"near")</f>
        <v>near</v>
      </c>
      <c r="I24" s="11" t="str">
        <f>IFERROR(__xludf.DUMMYFUNCTION("""COMPUTED_VALUE"""),"1")</f>
        <v>1</v>
      </c>
      <c r="J24" s="11" t="str">
        <f>IFERROR(__xludf.DUMMYFUNCTION("""COMPUTED_VALUE"""),"0")</f>
        <v>0</v>
      </c>
      <c r="K24" s="11" t="str">
        <f>IFERROR(__xludf.DUMMYFUNCTION("""COMPUTED_VALUE"""),"0")</f>
        <v>0</v>
      </c>
      <c r="L24" s="11" t="str">
        <f>IFERROR(__xludf.DUMMYFUNCTION("""COMPUTED_VALUE"""),"-1")</f>
        <v>-1</v>
      </c>
      <c r="M24" s="11" t="str">
        <f>IFERROR(__xludf.DUMMYFUNCTION("""COMPUTED_VALUE"""),"1")</f>
        <v>1</v>
      </c>
      <c r="N24" s="11" t="str">
        <f>IFERROR(__xludf.DUMMYFUNCTION("""COMPUTED_VALUE"""),"-1")</f>
        <v>-1</v>
      </c>
      <c r="O24" s="11" t="str">
        <f>IFERROR(__xludf.DUMMYFUNCTION("""COMPUTED_VALUE"""),"C")</f>
        <v>C</v>
      </c>
      <c r="P24" s="13">
        <f>IFERROR(__xludf.DUMMYFUNCTION("""COMPUTED_VALUE"""),1.0)</f>
        <v>1</v>
      </c>
      <c r="Q24" s="11"/>
      <c r="R24" s="11"/>
      <c r="S24" s="11"/>
      <c r="T24" s="11"/>
      <c r="U24" s="11"/>
      <c r="V24" s="11"/>
      <c r="W24" s="11"/>
      <c r="X24" s="11"/>
      <c r="Y24" s="11"/>
      <c r="Z24" s="11"/>
      <c r="AA24" s="11"/>
      <c r="AB24" s="11"/>
    </row>
    <row r="25" ht="15.75" customHeight="1">
      <c r="A25" s="11" t="str">
        <f>IFERROR(__xludf.DUMMYFUNCTION("""COMPUTED_VALUE"""),"Vulture")</f>
        <v>Vulture</v>
      </c>
      <c r="B25" s="12">
        <f>IFERROR(__xludf.DUMMYFUNCTION("""COMPUTED_VALUE"""),0.0)</f>
        <v>0</v>
      </c>
      <c r="C25" s="11" t="str">
        <f>IFERROR(__xludf.DUMMYFUNCTION("""COMPUTED_VALUE"""),"CR")</f>
        <v>CR</v>
      </c>
      <c r="D25" s="11" t="str">
        <f>IFERROR(__xludf.DUMMYFUNCTION("""COMPUTED_VALUE"""),"Scavenger birds with black feathers, hunched backs, and bald heads.")</f>
        <v>Scavenger birds with black feathers, hunched backs, and bald heads.</v>
      </c>
      <c r="E25" s="11">
        <f>IFERROR(__xludf.DUMMYFUNCTION("""COMPUTED_VALUE"""),10.0)</f>
        <v>10</v>
      </c>
      <c r="F25" s="11">
        <f>IFERROR(__xludf.DUMMYFUNCTION("""COMPUTED_VALUE"""),5.0)</f>
        <v>5</v>
      </c>
      <c r="G25" s="11" t="str">
        <f>IFERROR(__xludf.DUMMYFUNCTION("""COMPUTED_VALUE"""),"1 tear +1 (1d4)")</f>
        <v>1 tear +1 (1d4)</v>
      </c>
      <c r="H25" s="11" t="str">
        <f>IFERROR(__xludf.DUMMYFUNCTION("""COMPUTED_VALUE"""),"near (fly)")</f>
        <v>near (fly)</v>
      </c>
      <c r="I25" s="11">
        <f>IFERROR(__xludf.DUMMYFUNCTION("""COMPUTED_VALUE"""),1.0)</f>
        <v>1</v>
      </c>
      <c r="J25" s="11">
        <f>IFERROR(__xludf.DUMMYFUNCTION("""COMPUTED_VALUE"""),0.0)</f>
        <v>0</v>
      </c>
      <c r="K25" s="11">
        <f>IFERROR(__xludf.DUMMYFUNCTION("""COMPUTED_VALUE"""),1.0)</f>
        <v>1</v>
      </c>
      <c r="L25" s="11">
        <f>IFERROR(__xludf.DUMMYFUNCTION("""COMPUTED_VALUE"""),-3.0)</f>
        <v>-3</v>
      </c>
      <c r="M25" s="11">
        <f>IFERROR(__xludf.DUMMYFUNCTION("""COMPUTED_VALUE"""),1.0)</f>
        <v>1</v>
      </c>
      <c r="N25" s="11">
        <f>IFERROR(__xludf.DUMMYFUNCTION("""COMPUTED_VALUE"""),-3.0)</f>
        <v>-3</v>
      </c>
      <c r="O25" s="11" t="str">
        <f>IFERROR(__xludf.DUMMYFUNCTION("""COMPUTED_VALUE"""),"N")</f>
        <v>N</v>
      </c>
      <c r="P25" s="13">
        <f>IFERROR(__xludf.DUMMYFUNCTION("""COMPUTED_VALUE"""),1.0)</f>
        <v>1</v>
      </c>
      <c r="Q25" s="11" t="str">
        <f>IFERROR(__xludf.DUMMYFUNCTION("""COMPUTED_VALUE"""),"Carrion Tracker. Can track dead flesh unerringly within a mile.")</f>
        <v>Carrion Tracker. Can track dead flesh unerringly within a mile.</v>
      </c>
      <c r="R25" s="11"/>
      <c r="S25" s="11"/>
      <c r="T25" s="11"/>
      <c r="U25" s="11"/>
      <c r="V25" s="11"/>
      <c r="W25" s="11"/>
      <c r="X25" s="11"/>
      <c r="Y25" s="11"/>
      <c r="Z25" s="11"/>
      <c r="AA25" s="11"/>
      <c r="AB25" s="11"/>
    </row>
  </sheetData>
  <customSheetViews>
    <customSheetView guid="{7904D927-A127-473C-8B57-4EE1C7E3FAE9}" filter="1" showAutoFilter="1">
      <autoFilter ref="$A$1:$AB$25">
        <filterColumn colId="2">
          <filters/>
        </filterColumn>
      </autoFilter>
    </customSheetView>
    <customSheetView guid="{51DCF084-7C01-403C-9896-1E7742DCA6B3}" filter="1" showAutoFilter="1">
      <autoFilter ref="$A$1:$AB$25"/>
    </customSheetView>
    <customSheetView guid="{6B2E9E35-D6A1-4749-95F2-2658A691119A}" filter="1" showAutoFilter="1">
      <autoFilter ref="$A$1:$AB$25">
        <filterColumn colId="2">
          <filters/>
        </filterColumn>
      </autoFilter>
    </customSheetView>
    <customSheetView guid="{5CDEC3B1-201F-4BAD-941F-A80E62A04015}" filter="1" showAutoFilter="1">
      <autoFilter ref="$A$1:$AB$25">
        <filterColumn colId="2">
          <filters/>
        </filterColumn>
      </autoFilter>
    </customSheetView>
    <customSheetView guid="{7B4FF760-C879-4C05-8F10-45D59B7E7C3E}" filter="1" showAutoFilter="1">
      <autoFilter ref="$A$1:$AB$25">
        <filterColumn colId="2">
          <filters/>
        </filterColumn>
      </autoFilter>
    </customSheetView>
    <customSheetView guid="{4FEF9F0C-4236-4853-B093-88FE2289FD26}" filter="1" showAutoFilter="1">
      <autoFilter ref="$A$1:$AB$25">
        <filterColumn colId="2">
          <filters>
            <filter val="CR"/>
          </filters>
        </filterColumn>
      </autoFilter>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IFERROR(__xludf.DUMMYFUNCTION("FILTER(All!A5:Z35, All!P5:P35 = 2)
"),"Animated Armor")</f>
        <v>Animated Armor</v>
      </c>
      <c r="B2" s="12">
        <f>IFERROR(__xludf.DUMMYFUNCTION("""COMPUTED_VALUE"""),1.0)</f>
        <v>1</v>
      </c>
      <c r="C2" s="11" t="str">
        <f>IFERROR(__xludf.DUMMYFUNCTION("""COMPUTED_VALUE"""),"CR")</f>
        <v>CR</v>
      </c>
      <c r="D2" s="11" t="str">
        <f>IFERROR(__xludf.DUMMYFUNCTION("""COMPUTED_VALUE"""),"An old suit of armor magically animated by a")</f>
        <v>An old suit of armor magically animated by a</v>
      </c>
      <c r="E2" s="11">
        <f>IFERROR(__xludf.DUMMYFUNCTION("""COMPUTED_VALUE"""),15.0)</f>
        <v>15</v>
      </c>
      <c r="F2" s="11">
        <f>IFERROR(__xludf.DUMMYFUNCTION("""COMPUTED_VALUE"""),11.0)</f>
        <v>11</v>
      </c>
      <c r="G2" s="11" t="str">
        <f>IFERROR(__xludf.DUMMYFUNCTION("""COMPUTED_VALUE"""),"1 longsword +3 (1d8)")</f>
        <v>1 longsword +3 (1d8)</v>
      </c>
      <c r="H2" s="11" t="str">
        <f>IFERROR(__xludf.DUMMYFUNCTION("""COMPUTED_VALUE"""),"near")</f>
        <v>near</v>
      </c>
      <c r="I2" s="11">
        <f>IFERROR(__xludf.DUMMYFUNCTION("""COMPUTED_VALUE"""),3.0)</f>
        <v>3</v>
      </c>
      <c r="J2" s="11">
        <f>IFERROR(__xludf.DUMMYFUNCTION("""COMPUTED_VALUE"""),-1.0)</f>
        <v>-1</v>
      </c>
      <c r="K2" s="11">
        <f>IFERROR(__xludf.DUMMYFUNCTION("""COMPUTED_VALUE"""),2.0)</f>
        <v>2</v>
      </c>
      <c r="L2" s="11">
        <f>IFERROR(__xludf.DUMMYFUNCTION("""COMPUTED_VALUE"""),-1.0)</f>
        <v>-1</v>
      </c>
      <c r="M2" s="11">
        <f>IFERROR(__xludf.DUMMYFUNCTION("""COMPUTED_VALUE"""),1.0)</f>
        <v>1</v>
      </c>
      <c r="N2" s="11">
        <f>IFERROR(__xludf.DUMMYFUNCTION("""COMPUTED_VALUE"""),0.0)</f>
        <v>0</v>
      </c>
      <c r="O2" s="11" t="str">
        <f>IFERROR(__xludf.DUMMYFUNCTION("""COMPUTED_VALUE"""),"C")</f>
        <v>C</v>
      </c>
      <c r="P2" s="13">
        <f>IFERROR(__xludf.DUMMYFUNCTION("""COMPUTED_VALUE"""),2.0)</f>
        <v>2</v>
      </c>
      <c r="Q2" s="11" t="str">
        <f>IFERROR(__xludf.DUMMYFUNCTION("""COMPUTED_VALUE"""),"Statue. When standing still, looks exactly like a suit of armor.")</f>
        <v>Statue. When standing still, looks exactly like a suit of armor.</v>
      </c>
      <c r="R2" s="11"/>
      <c r="S2" s="11"/>
      <c r="T2" s="11"/>
      <c r="U2" s="11"/>
      <c r="V2" s="11"/>
      <c r="W2" s="11"/>
      <c r="X2" s="11"/>
      <c r="Y2" s="11"/>
      <c r="Z2" s="11"/>
      <c r="AA2" s="11"/>
      <c r="AB2" s="11"/>
    </row>
    <row r="3" ht="15.75" customHeight="1">
      <c r="A3" s="11" t="str">
        <f>IFERROR(__xludf.DUMMYFUNCTION("""COMPUTED_VALUE"""),"Ape")</f>
        <v>Ape</v>
      </c>
      <c r="B3" s="12">
        <f>IFERROR(__xludf.DUMMYFUNCTION("""COMPUTED_VALUE"""),0.5)</f>
        <v>0.5</v>
      </c>
      <c r="C3" s="11" t="str">
        <f>IFERROR(__xludf.DUMMYFUNCTION("""COMPUTED_VALUE"""),"CR")</f>
        <v>CR</v>
      </c>
      <c r="D3" s="11" t="str">
        <f>IFERROR(__xludf.DUMMYFUNCTION("""COMPUTED_VALUE"""),"Hooting, omnivorous apes that live in trees.")</f>
        <v>Hooting, omnivorous apes that live in trees.</v>
      </c>
      <c r="E3" s="11">
        <f>IFERROR(__xludf.DUMMYFUNCTION("""COMPUTED_VALUE"""),12.0)</f>
        <v>12</v>
      </c>
      <c r="F3" s="11">
        <f>IFERROR(__xludf.DUMMYFUNCTION("""COMPUTED_VALUE"""),10.0)</f>
        <v>10</v>
      </c>
      <c r="G3" s="11" t="str">
        <f>IFERROR(__xludf.DUMMYFUNCTION("""COMPUTED_VALUE"""),"1 fist +2 (1d6) or 1 rock (far) +2 (1d4)")</f>
        <v>1 fist +2 (1d6) or 1 rock (far) +2 (1d4)</v>
      </c>
      <c r="H3" s="11" t="str">
        <f>IFERROR(__xludf.DUMMYFUNCTION("""COMPUTED_VALUE"""),"near (climb)")</f>
        <v>near (climb)</v>
      </c>
      <c r="I3" s="11">
        <f>IFERROR(__xludf.DUMMYFUNCTION("""COMPUTED_VALUE"""),2.0)</f>
        <v>2</v>
      </c>
      <c r="J3" s="11">
        <f>IFERROR(__xludf.DUMMYFUNCTION("""COMPUTED_VALUE"""),2.0)</f>
        <v>2</v>
      </c>
      <c r="K3" s="11">
        <f>IFERROR(__xludf.DUMMYFUNCTION("""COMPUTED_VALUE"""),1.0)</f>
        <v>1</v>
      </c>
      <c r="L3" s="11">
        <f>IFERROR(__xludf.DUMMYFUNCTION("""COMPUTED_VALUE"""),-2.0)</f>
        <v>-2</v>
      </c>
      <c r="M3" s="11">
        <f>IFERROR(__xludf.DUMMYFUNCTION("""COMPUTED_VALUE"""),1.0)</f>
        <v>1</v>
      </c>
      <c r="N3" s="11">
        <f>IFERROR(__xludf.DUMMYFUNCTION("""COMPUTED_VALUE"""),0.0)</f>
        <v>0</v>
      </c>
      <c r="O3" s="11" t="str">
        <f>IFERROR(__xludf.DUMMYFUNCTION("""COMPUTED_VALUE"""),"N")</f>
        <v>N</v>
      </c>
      <c r="P3" s="13">
        <f>IFERROR(__xludf.DUMMYFUNCTION("""COMPUTED_VALUE"""),2.0)</f>
        <v>2</v>
      </c>
      <c r="Q3" s="11"/>
      <c r="R3" s="11"/>
      <c r="S3" s="11"/>
      <c r="T3" s="11"/>
      <c r="U3" s="11"/>
      <c r="V3" s="11"/>
      <c r="W3" s="11"/>
      <c r="X3" s="11"/>
      <c r="Y3" s="11"/>
      <c r="Z3" s="11"/>
      <c r="AA3" s="11"/>
      <c r="AB3" s="11"/>
    </row>
    <row r="4" ht="15.75" customHeight="1">
      <c r="A4" s="11" t="str">
        <f>IFERROR(__xludf.DUMMYFUNCTION("""COMPUTED_VALUE"""),"Bat, Giant")</f>
        <v>Bat, Giant</v>
      </c>
      <c r="B4" s="12">
        <f>IFERROR(__xludf.DUMMYFUNCTION("""COMPUTED_VALUE"""),0.25)</f>
        <v>0.25</v>
      </c>
      <c r="C4" s="11" t="str">
        <f>IFERROR(__xludf.DUMMYFUNCTION("""COMPUTED_VALUE"""),"CR")</f>
        <v>CR</v>
      </c>
      <c r="D4" s="11" t="str">
        <f>IFERROR(__xludf.DUMMYFUNCTION("""COMPUTED_VALUE"""),"Leathery, eagle-sized mammal with a taste for flesh.")</f>
        <v>Leathery, eagle-sized mammal with a taste for flesh.</v>
      </c>
      <c r="E4" s="11">
        <f>IFERROR(__xludf.DUMMYFUNCTION("""COMPUTED_VALUE"""),12.0)</f>
        <v>12</v>
      </c>
      <c r="F4" s="11">
        <f>IFERROR(__xludf.DUMMYFUNCTION("""COMPUTED_VALUE"""),9.0)</f>
        <v>9</v>
      </c>
      <c r="G4" s="11" t="str">
        <f>IFERROR(__xludf.DUMMYFUNCTION("""COMPUTED_VALUE"""),"1 bite +2 (1d6)")</f>
        <v>1 bite +2 (1d6)</v>
      </c>
      <c r="H4" s="11" t="str">
        <f>IFERROR(__xludf.DUMMYFUNCTION("""COMPUTED_VALUE"""),"near (fly)")</f>
        <v>near (fly)</v>
      </c>
      <c r="I4" s="11">
        <f>IFERROR(__xludf.DUMMYFUNCTION("""COMPUTED_VALUE"""),-1.0)</f>
        <v>-1</v>
      </c>
      <c r="J4" s="11">
        <f>IFERROR(__xludf.DUMMYFUNCTION("""COMPUTED_VALUE"""),2.0)</f>
        <v>2</v>
      </c>
      <c r="K4" s="11">
        <f>IFERROR(__xludf.DUMMYFUNCTION("""COMPUTED_VALUE"""),0.0)</f>
        <v>0</v>
      </c>
      <c r="L4" s="11">
        <f>IFERROR(__xludf.DUMMYFUNCTION("""COMPUTED_VALUE"""),-3.0)</f>
        <v>-3</v>
      </c>
      <c r="M4" s="11">
        <f>IFERROR(__xludf.DUMMYFUNCTION("""COMPUTED_VALUE"""),1.0)</f>
        <v>1</v>
      </c>
      <c r="N4" s="11">
        <f>IFERROR(__xludf.DUMMYFUNCTION("""COMPUTED_VALUE"""),-3.0)</f>
        <v>-3</v>
      </c>
      <c r="O4" s="11" t="str">
        <f>IFERROR(__xludf.DUMMYFUNCTION("""COMPUTED_VALUE"""),"N")</f>
        <v>N</v>
      </c>
      <c r="P4" s="13">
        <f>IFERROR(__xludf.DUMMYFUNCTION("""COMPUTED_VALUE"""),2.0)</f>
        <v>2</v>
      </c>
      <c r="Q4" s="11"/>
      <c r="R4" s="11"/>
      <c r="S4" s="11"/>
      <c r="T4" s="11"/>
      <c r="U4" s="11"/>
      <c r="V4" s="11"/>
      <c r="W4" s="11"/>
      <c r="X4" s="11"/>
      <c r="Y4" s="11"/>
      <c r="Z4" s="11"/>
      <c r="AA4" s="11"/>
      <c r="AB4" s="11"/>
    </row>
    <row r="5" ht="15.75" customHeight="1">
      <c r="A5" s="11" t="str">
        <f>IFERROR(__xludf.DUMMYFUNCTION("""COMPUTED_VALUE"""),"Berserker")</f>
        <v>Berserker</v>
      </c>
      <c r="B5" s="12">
        <f>IFERROR(__xludf.DUMMYFUNCTION("""COMPUTED_VALUE"""),2.0)</f>
        <v>2</v>
      </c>
      <c r="C5" s="11" t="str">
        <f>IFERROR(__xludf.DUMMYFUNCTION("""COMPUTED_VALUE"""),"CR")</f>
        <v>CR</v>
      </c>
      <c r="D5" s="11" t="str">
        <f>IFERROR(__xludf.DUMMYFUNCTION("""COMPUTED_VALUE"""),"Howling, battleraging warriors.")</f>
        <v>Howling, battleraging warriors.</v>
      </c>
      <c r="E5" s="11">
        <f>IFERROR(__xludf.DUMMYFUNCTION("""COMPUTED_VALUE"""),12.0)</f>
        <v>12</v>
      </c>
      <c r="F5" s="11">
        <f>IFERROR(__xludf.DUMMYFUNCTION("""COMPUTED_VALUE"""),10.0)</f>
        <v>10</v>
      </c>
      <c r="G5" s="11" t="str">
        <f>IFERROR(__xludf.DUMMYFUNCTION("""COMPUTED_VALUE"""),"greataxe +2 (1d10) or 1 spear
(close/near) +2 (1d6)")</f>
        <v>greataxe +2 (1d10) or 1 spear
(close/near) +2 (1d6)</v>
      </c>
      <c r="H5" s="11" t="str">
        <f>IFERROR(__xludf.DUMMYFUNCTION("""COMPUTED_VALUE"""),"near")</f>
        <v>near</v>
      </c>
      <c r="I5" s="11">
        <f>IFERROR(__xludf.DUMMYFUNCTION("""COMPUTED_VALUE"""),2.0)</f>
        <v>2</v>
      </c>
      <c r="J5" s="11">
        <f>IFERROR(__xludf.DUMMYFUNCTION("""COMPUTED_VALUE"""),1.0)</f>
        <v>1</v>
      </c>
      <c r="K5" s="11">
        <f>IFERROR(__xludf.DUMMYFUNCTION("""COMPUTED_VALUE"""),1.0)</f>
        <v>1</v>
      </c>
      <c r="L5" s="11">
        <f>IFERROR(__xludf.DUMMYFUNCTION("""COMPUTED_VALUE"""),0.0)</f>
        <v>0</v>
      </c>
      <c r="M5" s="11">
        <f>IFERROR(__xludf.DUMMYFUNCTION("""COMPUTED_VALUE"""),1.0)</f>
        <v>1</v>
      </c>
      <c r="N5" s="11">
        <f>IFERROR(__xludf.DUMMYFUNCTION("""COMPUTED_VALUE"""),0.0)</f>
        <v>0</v>
      </c>
      <c r="O5" s="11" t="str">
        <f>IFERROR(__xludf.DUMMYFUNCTION("""COMPUTED_VALUE"""),"N")</f>
        <v>N</v>
      </c>
      <c r="P5" s="13">
        <f>IFERROR(__xludf.DUMMYFUNCTION("""COMPUTED_VALUE"""),2.0)</f>
        <v>2</v>
      </c>
      <c r="Q5" s="11" t="str">
        <f>IFERROR(__xludf.DUMMYFUNCTION("""COMPUTED_VALUE"""),"Rage. 1/day, immune to morale checks, +1d4 damage (3 rounds).")</f>
        <v>Rage. 1/day, immune to morale checks, +1d4 damage (3 rounds).</v>
      </c>
      <c r="R5" s="11"/>
      <c r="S5" s="11"/>
      <c r="T5" s="11"/>
      <c r="U5" s="11"/>
      <c r="V5" s="11"/>
      <c r="W5" s="11"/>
      <c r="X5" s="11"/>
      <c r="Y5" s="11"/>
      <c r="Z5" s="11"/>
      <c r="AA5" s="11"/>
      <c r="AB5" s="11"/>
    </row>
    <row r="6" ht="15.75" customHeight="1">
      <c r="A6" s="11" t="str">
        <f>IFERROR(__xludf.DUMMYFUNCTION("""COMPUTED_VALUE"""),"Camel")</f>
        <v>Camel</v>
      </c>
      <c r="B6" s="12">
        <f>IFERROR(__xludf.DUMMYFUNCTION("""COMPUTED_VALUE"""),0.125)</f>
        <v>0.125</v>
      </c>
      <c r="C6" s="11" t="str">
        <f>IFERROR(__xludf.DUMMYFUNCTION("""COMPUTED_VALUE"""),"CR")</f>
        <v>CR</v>
      </c>
      <c r="D6" s="11" t="str">
        <f>IFERROR(__xludf.DUMMYFUNCTION("""COMPUTED_VALUE"""),"Ornery, tan-furred desert beasts.")</f>
        <v>Ornery, tan-furred desert beasts.</v>
      </c>
      <c r="E6" s="11">
        <f>IFERROR(__xludf.DUMMYFUNCTION("""COMPUTED_VALUE"""),10.0)</f>
        <v>10</v>
      </c>
      <c r="F6" s="11">
        <f>IFERROR(__xludf.DUMMYFUNCTION("""COMPUTED_VALUE"""),12.0)</f>
        <v>12</v>
      </c>
      <c r="G6" s="11" t="str">
        <f>IFERROR(__xludf.DUMMYFUNCTION("""COMPUTED_VALUE"""),"1 hoof +3 (1d6) or 1 spit")</f>
        <v>1 hoof +3 (1d6) or 1 spit</v>
      </c>
      <c r="H6" s="11" t="str">
        <f>IFERROR(__xludf.DUMMYFUNCTION("""COMPUTED_VALUE"""),"double near")</f>
        <v>double near</v>
      </c>
      <c r="I6" s="11">
        <f>IFERROR(__xludf.DUMMYFUNCTION("""COMPUTED_VALUE"""),3.0)</f>
        <v>3</v>
      </c>
      <c r="J6" s="11">
        <f>IFERROR(__xludf.DUMMYFUNCTION("""COMPUTED_VALUE"""),0.0)</f>
        <v>0</v>
      </c>
      <c r="K6" s="11">
        <f>IFERROR(__xludf.DUMMYFUNCTION("""COMPUTED_VALUE"""),3.0)</f>
        <v>3</v>
      </c>
      <c r="L6" s="11">
        <f>IFERROR(__xludf.DUMMYFUNCTION("""COMPUTED_VALUE"""),-2.0)</f>
        <v>-2</v>
      </c>
      <c r="M6" s="11">
        <f>IFERROR(__xludf.DUMMYFUNCTION("""COMPUTED_VALUE"""),1.0)</f>
        <v>1</v>
      </c>
      <c r="N6" s="11">
        <f>IFERROR(__xludf.DUMMYFUNCTION("""COMPUTED_VALUE"""),-3.0)</f>
        <v>-3</v>
      </c>
      <c r="O6" s="11" t="str">
        <f>IFERROR(__xludf.DUMMYFUNCTION("""COMPUTED_VALUE"""),"N")</f>
        <v>N</v>
      </c>
      <c r="P6" s="13">
        <f>IFERROR(__xludf.DUMMYFUNCTION("""COMPUTED_VALUE"""),2.0)</f>
        <v>2</v>
      </c>
      <c r="Q6" s="11"/>
      <c r="R6" s="11"/>
      <c r="S6" s="11"/>
      <c r="T6" s="11"/>
      <c r="U6" s="11"/>
      <c r="V6" s="11"/>
      <c r="W6" s="11"/>
      <c r="X6" s="11"/>
      <c r="Y6" s="11"/>
      <c r="Z6" s="11"/>
      <c r="AA6" s="11"/>
      <c r="AB6" s="11"/>
    </row>
    <row r="7" ht="15.75" customHeight="1">
      <c r="A7" s="11" t="str">
        <f>IFERROR(__xludf.DUMMYFUNCTION("""COMPUTED_VALUE"""),"Cultist")</f>
        <v>Cultist</v>
      </c>
      <c r="B7" s="12">
        <f>IFERROR(__xludf.DUMMYFUNCTION("""COMPUTED_VALUE"""),0.125)</f>
        <v>0.125</v>
      </c>
      <c r="C7" s="11" t="str">
        <f>IFERROR(__xludf.DUMMYFUNCTION("""COMPUTED_VALUE"""),"CR")</f>
        <v>CR</v>
      </c>
      <c r="D7" s="11" t="str">
        <f>IFERROR(__xludf.DUMMYFUNCTION("""COMPUTED_VALUE"""),"A cloaked, wild-eyed zealot chanting the guttural prayers of a dark god.")</f>
        <v>A cloaked, wild-eyed zealot chanting the guttural prayers of a dark god.</v>
      </c>
      <c r="E7" s="11" t="str">
        <f>IFERROR(__xludf.DUMMYFUNCTION("""COMPUTED_VALUE"""),"14 (chainmail + shield)")</f>
        <v>14 (chainmail + shield)</v>
      </c>
      <c r="F7" s="11">
        <f>IFERROR(__xludf.DUMMYFUNCTION("""COMPUTED_VALUE"""),9.0)</f>
        <v>9</v>
      </c>
      <c r="G7" s="11" t="str">
        <f>IFERROR(__xludf.DUMMYFUNCTION("""COMPUTED_VALUE"""),"1 longsword +1 (1d8) or 1 spell +2")</f>
        <v>1 longsword +1 (1d8) or 1 spell +2</v>
      </c>
      <c r="H7" s="11" t="str">
        <f>IFERROR(__xludf.DUMMYFUNCTION("""COMPUTED_VALUE"""),"near")</f>
        <v>near</v>
      </c>
      <c r="I7" s="11">
        <f>IFERROR(__xludf.DUMMYFUNCTION("""COMPUTED_VALUE"""),1.0)</f>
        <v>1</v>
      </c>
      <c r="J7" s="11">
        <f>IFERROR(__xludf.DUMMYFUNCTION("""COMPUTED_VALUE"""),-1.0)</f>
        <v>-1</v>
      </c>
      <c r="K7" s="11">
        <f>IFERROR(__xludf.DUMMYFUNCTION("""COMPUTED_VALUE"""),0.0)</f>
        <v>0</v>
      </c>
      <c r="L7" s="11">
        <f>IFERROR(__xludf.DUMMYFUNCTION("""COMPUTED_VALUE"""),-1.0)</f>
        <v>-1</v>
      </c>
      <c r="M7" s="11">
        <f>IFERROR(__xludf.DUMMYFUNCTION("""COMPUTED_VALUE"""),2.0)</f>
        <v>2</v>
      </c>
      <c r="N7" s="11">
        <f>IFERROR(__xludf.DUMMYFUNCTION("""COMPUTED_VALUE"""),0.0)</f>
        <v>0</v>
      </c>
      <c r="O7" s="11" t="str">
        <f>IFERROR(__xludf.DUMMYFUNCTION("""COMPUTED_VALUE"""),"C")</f>
        <v>C</v>
      </c>
      <c r="P7" s="13">
        <f>IFERROR(__xludf.DUMMYFUNCTION("""COMPUTED_VALUE"""),2.0)</f>
        <v>2</v>
      </c>
      <c r="Q7" s="11" t="str">
        <f>IFERROR(__xludf.DUMMYFUNCTION("""COMPUTED_VALUE"""),"Fearless. Immune to morale checks.")</f>
        <v>Fearless. Immune to morale checks.</v>
      </c>
      <c r="R7" s="11" t="str">
        <f>IFERROR(__xludf.DUMMYFUNCTION("""COMPUTED_VALUE"""),"Deathtouch (WIS Spell). DC 12. 2d4 damage to one creature within close.")</f>
        <v>Deathtouch (WIS Spell). DC 12. 2d4 damage to one creature within close.</v>
      </c>
      <c r="S7" s="11"/>
      <c r="T7" s="11"/>
      <c r="U7" s="11"/>
      <c r="V7" s="11"/>
      <c r="W7" s="11"/>
      <c r="X7" s="11"/>
      <c r="Y7" s="11"/>
      <c r="Z7" s="11"/>
      <c r="AA7" s="11"/>
      <c r="AB7" s="11"/>
    </row>
    <row r="8" ht="15.75" customHeight="1">
      <c r="A8" s="11" t="str">
        <f>IFERROR(__xludf.DUMMYFUNCTION("""COMPUTED_VALUE"""),"Deep One")</f>
        <v>Deep One</v>
      </c>
      <c r="B8" s="12" t="str">
        <f>IFERROR(__xludf.DUMMYFUNCTION("""COMPUTED_VALUE"""),"")</f>
        <v/>
      </c>
      <c r="C8" s="11" t="str">
        <f>IFERROR(__xludf.DUMMYFUNCTION("""COMPUTED_VALUE"""),"CR")</f>
        <v>CR</v>
      </c>
      <c r="D8" s="11" t="str">
        <f>IFERROR(__xludf.DUMMYFUNCTION("""COMPUTED_VALUE"""),"Cultish, amphibious fish-people with bulbous eyes. They lurk in deep water and sunless caverns.")</f>
        <v>Cultish, amphibious fish-people with bulbous eyes. They lurk in deep water and sunless caverns.</v>
      </c>
      <c r="E8" s="11">
        <f>IFERROR(__xludf.DUMMYFUNCTION("""COMPUTED_VALUE"""),13.0)</f>
        <v>13</v>
      </c>
      <c r="F8" s="11">
        <f>IFERROR(__xludf.DUMMYFUNCTION("""COMPUTED_VALUE"""),10.0)</f>
        <v>10</v>
      </c>
      <c r="G8" s="11" t="str">
        <f>IFERROR(__xludf.DUMMYFUNCTION("""COMPUTED_VALUE"""),"2 spear (close/near) +2 (1d6)")</f>
        <v>2 spear (close/near) +2 (1d6)</v>
      </c>
      <c r="H8" s="11" t="str">
        <f>IFERROR(__xludf.DUMMYFUNCTION("""COMPUTED_VALUE"""),"near (swim)")</f>
        <v>near (swim)</v>
      </c>
      <c r="I8" s="11">
        <f>IFERROR(__xludf.DUMMYFUNCTION("""COMPUTED_VALUE"""),2.0)</f>
        <v>2</v>
      </c>
      <c r="J8" s="11">
        <f>IFERROR(__xludf.DUMMYFUNCTION("""COMPUTED_VALUE"""),1.0)</f>
        <v>1</v>
      </c>
      <c r="K8" s="11">
        <f>IFERROR(__xludf.DUMMYFUNCTION("""COMPUTED_VALUE"""),1.0)</f>
        <v>1</v>
      </c>
      <c r="L8" s="11">
        <f>IFERROR(__xludf.DUMMYFUNCTION("""COMPUTED_VALUE"""),-2.0)</f>
        <v>-2</v>
      </c>
      <c r="M8" s="11">
        <f>IFERROR(__xludf.DUMMYFUNCTION("""COMPUTED_VALUE"""),0.0)</f>
        <v>0</v>
      </c>
      <c r="N8" s="11">
        <f>IFERROR(__xludf.DUMMYFUNCTION("""COMPUTED_VALUE"""),-2.0)</f>
        <v>-2</v>
      </c>
      <c r="O8" s="11" t="str">
        <f>IFERROR(__xludf.DUMMYFUNCTION("""COMPUTED_VALUE"""),"C")</f>
        <v>C</v>
      </c>
      <c r="P8" s="13">
        <f>IFERROR(__xludf.DUMMYFUNCTION("""COMPUTED_VALUE"""),2.0)</f>
        <v>2</v>
      </c>
      <c r="Q8" s="11" t="str">
        <f>IFERROR(__xludf.DUMMYFUNCTION("""COMPUTED_VALUE"""),"Sunblind. Blinded in bright light.")</f>
        <v>Sunblind. Blinded in bright light.</v>
      </c>
      <c r="R8" s="11"/>
      <c r="S8" s="11"/>
      <c r="T8" s="11"/>
      <c r="U8" s="11"/>
      <c r="V8" s="11"/>
      <c r="W8" s="11"/>
      <c r="X8" s="11"/>
      <c r="Y8" s="11"/>
      <c r="Z8" s="11"/>
      <c r="AA8" s="11"/>
      <c r="AB8" s="11"/>
    </row>
    <row r="9" ht="15.75" customHeight="1">
      <c r="A9" s="11" t="str">
        <f>IFERROR(__xludf.DUMMYFUNCTION("""COMPUTED_VALUE"""),"Demon, Dretch")</f>
        <v>Demon, Dretch</v>
      </c>
      <c r="B9" s="12">
        <f>IFERROR(__xludf.DUMMYFUNCTION("""COMPUTED_VALUE"""),0.25)</f>
        <v>0.25</v>
      </c>
      <c r="C9" s="11" t="str">
        <f>IFERROR(__xludf.DUMMYFUNCTION("""COMPUTED_VALUE"""),"CR")</f>
        <v>CR</v>
      </c>
      <c r="D9" s="11" t="str">
        <f>IFERROR(__xludf.DUMMYFUNCTION("""COMPUTED_VALUE"""),"Green, pig-faced demons with thick claws and an oily stench.")</f>
        <v>Green, pig-faced demons with thick claws and an oily stench.</v>
      </c>
      <c r="E9" s="11">
        <f>IFERROR(__xludf.DUMMYFUNCTION("""COMPUTED_VALUE"""),12.0)</f>
        <v>12</v>
      </c>
      <c r="F9" s="11">
        <f>IFERROR(__xludf.DUMMYFUNCTION("""COMPUTED_VALUE"""),11.0)</f>
        <v>11</v>
      </c>
      <c r="G9" s="11" t="str">
        <f>IFERROR(__xludf.DUMMYFUNCTION("""COMPUTED_VALUE"""),"1 claw +2 (1d6)")</f>
        <v>1 claw +2 (1d6)</v>
      </c>
      <c r="H9" s="11" t="str">
        <f>IFERROR(__xludf.DUMMYFUNCTION("""COMPUTED_VALUE"""),"near")</f>
        <v>near</v>
      </c>
      <c r="I9" s="11">
        <f>IFERROR(__xludf.DUMMYFUNCTION("""COMPUTED_VALUE"""),2.0)</f>
        <v>2</v>
      </c>
      <c r="J9" s="11">
        <f>IFERROR(__xludf.DUMMYFUNCTION("""COMPUTED_VALUE"""),0.0)</f>
        <v>0</v>
      </c>
      <c r="K9" s="11">
        <f>IFERROR(__xludf.DUMMYFUNCTION("""COMPUTED_VALUE"""),2.0)</f>
        <v>2</v>
      </c>
      <c r="L9" s="11">
        <f>IFERROR(__xludf.DUMMYFUNCTION("""COMPUTED_VALUE"""),-2.0)</f>
        <v>-2</v>
      </c>
      <c r="M9" s="11">
        <f>IFERROR(__xludf.DUMMYFUNCTION("""COMPUTED_VALUE"""),-1.0)</f>
        <v>-1</v>
      </c>
      <c r="N9" s="11">
        <f>IFERROR(__xludf.DUMMYFUNCTION("""COMPUTED_VALUE"""),-3.0)</f>
        <v>-3</v>
      </c>
      <c r="O9" s="11" t="str">
        <f>IFERROR(__xludf.DUMMYFUNCTION("""COMPUTED_VALUE"""),"C")</f>
        <v>C</v>
      </c>
      <c r="P9" s="13">
        <f>IFERROR(__xludf.DUMMYFUNCTION("""COMPUTED_VALUE"""),2.0)</f>
        <v>2</v>
      </c>
      <c r="Q9" s="11" t="str">
        <f>IFERROR(__xludf.DUMMYFUNCTION("""COMPUTED_VALUE"""),"Gas. All in near DC 12 CON or blinded for 1d4 rounds.")</f>
        <v>Gas. All in near DC 12 CON or blinded for 1d4 rounds.</v>
      </c>
      <c r="R9" s="11"/>
      <c r="S9" s="11"/>
      <c r="T9" s="11"/>
      <c r="U9" s="11"/>
      <c r="V9" s="11"/>
      <c r="W9" s="11"/>
      <c r="X9" s="11"/>
      <c r="Y9" s="11"/>
      <c r="Z9" s="11"/>
      <c r="AA9" s="11"/>
      <c r="AB9" s="11"/>
    </row>
    <row r="10" ht="15.75" customHeight="1">
      <c r="A10" s="11" t="str">
        <f>IFERROR(__xludf.DUMMYFUNCTION("""COMPUTED_VALUE"""),"Devil, Imp")</f>
        <v>Devil, Imp</v>
      </c>
      <c r="B10" s="12">
        <f>IFERROR(__xludf.DUMMYFUNCTION("""COMPUTED_VALUE"""),1.0)</f>
        <v>1</v>
      </c>
      <c r="C10" s="11" t="str">
        <f>IFERROR(__xludf.DUMMYFUNCTION("""COMPUTED_VALUE"""),"CR")</f>
        <v>CR</v>
      </c>
      <c r="D10" s="11" t="str">
        <f>IFERROR(__xludf.DUMMYFUNCTION("""COMPUTED_VALUE"""),"Cat-sized, red devils with oversized wings and tail, tiny horns, and cowardly demeanors.")</f>
        <v>Cat-sized, red devils with oversized wings and tail, tiny horns, and cowardly demeanors.</v>
      </c>
      <c r="E10" s="11">
        <f>IFERROR(__xludf.DUMMYFUNCTION("""COMPUTED_VALUE"""),13.0)</f>
        <v>13</v>
      </c>
      <c r="F10" s="11">
        <f>IFERROR(__xludf.DUMMYFUNCTION("""COMPUTED_VALUE"""),9.0)</f>
        <v>9</v>
      </c>
      <c r="G10" s="11" t="str">
        <f>IFERROR(__xludf.DUMMYFUNCTION("""COMPUTED_VALUE"""),"1 stinger +3 (1d4 + poison)")</f>
        <v>1 stinger +3 (1d4 + poison)</v>
      </c>
      <c r="H10" s="11" t="str">
        <f>IFERROR(__xludf.DUMMYFUNCTION("""COMPUTED_VALUE"""),"near (fly)")</f>
        <v>near (fly)</v>
      </c>
      <c r="I10" s="11">
        <f>IFERROR(__xludf.DUMMYFUNCTION("""COMPUTED_VALUE"""),-2.0)</f>
        <v>-2</v>
      </c>
      <c r="J10" s="11">
        <f>IFERROR(__xludf.DUMMYFUNCTION("""COMPUTED_VALUE"""),3.0)</f>
        <v>3</v>
      </c>
      <c r="K10" s="11">
        <f>IFERROR(__xludf.DUMMYFUNCTION("""COMPUTED_VALUE"""),0.0)</f>
        <v>0</v>
      </c>
      <c r="L10" s="11">
        <f>IFERROR(__xludf.DUMMYFUNCTION("""COMPUTED_VALUE"""),1.0)</f>
        <v>1</v>
      </c>
      <c r="M10" s="11">
        <f>IFERROR(__xludf.DUMMYFUNCTION("""COMPUTED_VALUE"""),0.0)</f>
        <v>0</v>
      </c>
      <c r="N10" s="11">
        <f>IFERROR(__xludf.DUMMYFUNCTION("""COMPUTED_VALUE"""),2.0)</f>
        <v>2</v>
      </c>
      <c r="O10" s="11" t="str">
        <f>IFERROR(__xludf.DUMMYFUNCTION("""COMPUTED_VALUE"""),"C")</f>
        <v>C</v>
      </c>
      <c r="P10" s="13">
        <f>IFERROR(__xludf.DUMMYFUNCTION("""COMPUTED_VALUE"""),2.0)</f>
        <v>2</v>
      </c>
      <c r="Q10" s="11" t="str">
        <f>IFERROR(__xludf.DUMMYFUNCTION("""COMPUTED_VALUE"""),"Impervious. Fire immune.")</f>
        <v>Impervious. Fire immune.</v>
      </c>
      <c r="R10" s="11" t="str">
        <f>IFERROR(__xludf.DUMMYFUNCTION("""COMPUTED_VALUE"""),"Contract. Can grant mighty boons and patronage on behalf of an archdevil in exchange for a sworn soul. ADV on related Charisma checks.")</f>
        <v>Contract. Can grant mighty boons and patronage on behalf of an archdevil in exchange for a sworn soul. ADV on related Charisma checks.</v>
      </c>
      <c r="S10" s="11" t="str">
        <f>IFERROR(__xludf.DUMMYFUNCTION("""COMPUTED_VALUE"""),"Poison. DC 12 CON or fitful sleep for 1d4 hours.")</f>
        <v>Poison. DC 12 CON or fitful sleep for 1d4 hours.</v>
      </c>
      <c r="T10" s="11"/>
      <c r="U10" s="11"/>
      <c r="V10" s="11"/>
      <c r="W10" s="11"/>
      <c r="X10" s="11"/>
      <c r="Y10" s="11"/>
      <c r="Z10" s="11"/>
      <c r="AA10" s="11"/>
      <c r="AB10" s="11"/>
    </row>
    <row r="11" ht="15.75" customHeight="1">
      <c r="A11" s="11" t="str">
        <f>IFERROR(__xludf.DUMMYFUNCTION("""COMPUTED_VALUE"""),"Dinosaur, Velociraptor")</f>
        <v>Dinosaur, Velociraptor</v>
      </c>
      <c r="B11" s="12">
        <f>IFERROR(__xludf.DUMMYFUNCTION("""COMPUTED_VALUE"""),0.25)</f>
        <v>0.25</v>
      </c>
      <c r="C11" s="11" t="str">
        <f>IFERROR(__xludf.DUMMYFUNCTION("""COMPUTED_VALUE"""),"CR")</f>
        <v>CR</v>
      </c>
      <c r="D11" s="11" t="str">
        <f>IFERROR(__xludf.DUMMYFUNCTION("""COMPUTED_VALUE"""),"Fast, turkey-sized raptors with vicious toe claws. Pack hunters.")</f>
        <v>Fast, turkey-sized raptors with vicious toe claws. Pack hunters.</v>
      </c>
      <c r="E11" s="11">
        <f>IFERROR(__xludf.DUMMYFUNCTION("""COMPUTED_VALUE"""),13.0)</f>
        <v>13</v>
      </c>
      <c r="F11" s="11">
        <f>IFERROR(__xludf.DUMMYFUNCTION("""COMPUTED_VALUE"""),10.0)</f>
        <v>10</v>
      </c>
      <c r="G11" s="11" t="str">
        <f>IFERROR(__xludf.DUMMYFUNCTION("""COMPUTED_VALUE"""),"1 claw +3 (1d6)")</f>
        <v>1 claw +3 (1d6)</v>
      </c>
      <c r="H11" s="11" t="str">
        <f>IFERROR(__xludf.DUMMYFUNCTION("""COMPUTED_VALUE"""),"double near")</f>
        <v>double near</v>
      </c>
      <c r="I11" s="11">
        <f>IFERROR(__xludf.DUMMYFUNCTION("""COMPUTED_VALUE"""),-1.0)</f>
        <v>-1</v>
      </c>
      <c r="J11" s="11">
        <f>IFERROR(__xludf.DUMMYFUNCTION("""COMPUTED_VALUE"""),3.0)</f>
        <v>3</v>
      </c>
      <c r="K11" s="11">
        <f>IFERROR(__xludf.DUMMYFUNCTION("""COMPUTED_VALUE"""),1.0)</f>
        <v>1</v>
      </c>
      <c r="L11" s="11">
        <f>IFERROR(__xludf.DUMMYFUNCTION("""COMPUTED_VALUE"""),-2.0)</f>
        <v>-2</v>
      </c>
      <c r="M11" s="11">
        <f>IFERROR(__xludf.DUMMYFUNCTION("""COMPUTED_VALUE"""),1.0)</f>
        <v>1</v>
      </c>
      <c r="N11" s="11">
        <f>IFERROR(__xludf.DUMMYFUNCTION("""COMPUTED_VALUE"""),-3.0)</f>
        <v>-3</v>
      </c>
      <c r="O11" s="11" t="str">
        <f>IFERROR(__xludf.DUMMYFUNCTION("""COMPUTED_VALUE"""),"N")</f>
        <v>N</v>
      </c>
      <c r="P11" s="13">
        <f>IFERROR(__xludf.DUMMYFUNCTION("""COMPUTED_VALUE"""),2.0)</f>
        <v>2</v>
      </c>
      <c r="Q11" s="11" t="str">
        <f>IFERROR(__xludf.DUMMYFUNCTION("""COMPUTED_VALUE"""),"Clever. +1d4 damage when attacking with surprise.")</f>
        <v>Clever. +1d4 damage when attacking with surprise.</v>
      </c>
      <c r="R11" s="11"/>
      <c r="S11" s="11"/>
      <c r="T11" s="11"/>
      <c r="U11" s="11"/>
      <c r="V11" s="11"/>
      <c r="W11" s="11"/>
      <c r="X11" s="11"/>
      <c r="Y11" s="11"/>
      <c r="Z11" s="11"/>
      <c r="AA11" s="11"/>
      <c r="AB11" s="11"/>
    </row>
    <row r="12" ht="15.75" customHeight="1">
      <c r="A12" s="11" t="str">
        <f>IFERROR(__xludf.DUMMYFUNCTION("""COMPUTED_VALUE"""),"Drow")</f>
        <v>Drow</v>
      </c>
      <c r="B12" s="12">
        <f>IFERROR(__xludf.DUMMYFUNCTION("""COMPUTED_VALUE"""),0.25)</f>
        <v>0.25</v>
      </c>
      <c r="C12" s="11" t="str">
        <f>IFERROR(__xludf.DUMMYFUNCTION("""COMPUTED_VALUE"""),"CR")</f>
        <v>CR</v>
      </c>
      <c r="D12" s="11" t="str">
        <f>IFERROR(__xludf.DUMMYFUNCTION("""COMPUTED_VALUE"""),"A graceful, shadowy elf that pounces like a spider.")</f>
        <v>A graceful, shadowy elf that pounces like a spider.</v>
      </c>
      <c r="E12" s="11">
        <f>IFERROR(__xludf.DUMMYFUNCTION("""COMPUTED_VALUE"""),16.0)</f>
        <v>16</v>
      </c>
      <c r="F12" s="11">
        <f>IFERROR(__xludf.DUMMYFUNCTION("""COMPUTED_VALUE"""),9.0)</f>
        <v>9</v>
      </c>
      <c r="G12" s="11" t="str">
        <f>IFERROR(__xludf.DUMMYFUNCTION("""COMPUTED_VALUE"""),"1 poison dart (near) +3 (1d4 + poison) or 1 longsword +1 (1d8)")</f>
        <v>1 poison dart (near) +3 (1d4 + poison) or 1 longsword +1 (1d8)</v>
      </c>
      <c r="H12" s="11" t="str">
        <f>IFERROR(__xludf.DUMMYFUNCTION("""COMPUTED_VALUE"""),"near")</f>
        <v>near</v>
      </c>
      <c r="I12" s="11">
        <f>IFERROR(__xludf.DUMMYFUNCTION("""COMPUTED_VALUE"""),0.0)</f>
        <v>0</v>
      </c>
      <c r="J12" s="11">
        <f>IFERROR(__xludf.DUMMYFUNCTION("""COMPUTED_VALUE"""),3.0)</f>
        <v>3</v>
      </c>
      <c r="K12" s="11">
        <f>IFERROR(__xludf.DUMMYFUNCTION("""COMPUTED_VALUE"""),0.0)</f>
        <v>0</v>
      </c>
      <c r="L12" s="11">
        <f>IFERROR(__xludf.DUMMYFUNCTION("""COMPUTED_VALUE"""),1.0)</f>
        <v>1</v>
      </c>
      <c r="M12" s="11">
        <f>IFERROR(__xludf.DUMMYFUNCTION("""COMPUTED_VALUE"""),1.0)</f>
        <v>1</v>
      </c>
      <c r="N12" s="11">
        <f>IFERROR(__xludf.DUMMYFUNCTION("""COMPUTED_VALUE"""),1.0)</f>
        <v>1</v>
      </c>
      <c r="O12" s="11" t="str">
        <f>IFERROR(__xludf.DUMMYFUNCTION("""COMPUTED_VALUE"""),"C")</f>
        <v>C</v>
      </c>
      <c r="P12" s="13">
        <f>IFERROR(__xludf.DUMMYFUNCTION("""COMPUTED_VALUE"""),2.0)</f>
        <v>2</v>
      </c>
      <c r="Q12" s="11" t="str">
        <f>IFERROR(__xludf.DUMMYFUNCTION("""COMPUTED_VALUE"""),"Poison. DC 15 CON or sleep.")</f>
        <v>Poison. DC 15 CON or sleep.</v>
      </c>
      <c r="R12" s="11" t="str">
        <f>IFERROR(__xludf.DUMMYFUNCTION("""COMPUTED_VALUE"""),"Sunblind. Blinded in bright light.")</f>
        <v>Sunblind. Blinded in bright light.</v>
      </c>
      <c r="S12" s="11"/>
      <c r="T12" s="11"/>
      <c r="U12" s="11"/>
      <c r="V12" s="11"/>
      <c r="W12" s="11"/>
      <c r="X12" s="11"/>
      <c r="Y12" s="11"/>
      <c r="Z12" s="11"/>
      <c r="AA12" s="11"/>
      <c r="AB12" s="11"/>
    </row>
    <row r="13" ht="15.75" customHeight="1">
      <c r="A13" s="11" t="str">
        <f>IFERROR(__xludf.DUMMYFUNCTION("""COMPUTED_VALUE"""),"Duergar")</f>
        <v>Duergar</v>
      </c>
      <c r="B13" s="12">
        <f>IFERROR(__xludf.DUMMYFUNCTION("""COMPUTED_VALUE"""),1.0)</f>
        <v>1</v>
      </c>
      <c r="C13" s="11" t="str">
        <f>IFERROR(__xludf.DUMMYFUNCTION("""COMPUTED_VALUE"""),"CR")</f>
        <v>CR</v>
      </c>
      <c r="D13" s="11" t="str">
        <f>IFERROR(__xludf.DUMMYFUNCTION("""COMPUTED_VALUE"""),"Gray-skinned, greedy dwarves with bald pates and white beards. They dwell in somber castles deep within the earth filled with stolen treasures and enslaved prisoners.")</f>
        <v>Gray-skinned, greedy dwarves with bald pates and white beards. They dwell in somber castles deep within the earth filled with stolen treasures and enslaved prisoners.</v>
      </c>
      <c r="E13" s="11" t="str">
        <f>IFERROR(__xludf.DUMMYFUNCTION("""COMPUTED_VALUE"""),"15 (chainmail + shield)")</f>
        <v>15 (chainmail + shield)</v>
      </c>
      <c r="F13" s="11">
        <f>IFERROR(__xludf.DUMMYFUNCTION("""COMPUTED_VALUE"""),12.0)</f>
        <v>12</v>
      </c>
      <c r="G13" s="11" t="str">
        <f>IFERROR(__xludf.DUMMYFUNCTION("""COMPUTED_VALUE"""),"1 war pick +2 (1d6)")</f>
        <v>1 war pick +2 (1d6)</v>
      </c>
      <c r="H13" s="11" t="str">
        <f>IFERROR(__xludf.DUMMYFUNCTION("""COMPUTED_VALUE"""),"near")</f>
        <v>near</v>
      </c>
      <c r="I13" s="11">
        <f>IFERROR(__xludf.DUMMYFUNCTION("""COMPUTED_VALUE"""),2.0)</f>
        <v>2</v>
      </c>
      <c r="J13" s="11">
        <f>IFERROR(__xludf.DUMMYFUNCTION("""COMPUTED_VALUE"""),0.0)</f>
        <v>0</v>
      </c>
      <c r="K13" s="11">
        <f>IFERROR(__xludf.DUMMYFUNCTION("""COMPUTED_VALUE"""),3.0)</f>
        <v>3</v>
      </c>
      <c r="L13" s="11">
        <f>IFERROR(__xludf.DUMMYFUNCTION("""COMPUTED_VALUE"""),0.0)</f>
        <v>0</v>
      </c>
      <c r="M13" s="11">
        <f>IFERROR(__xludf.DUMMYFUNCTION("""COMPUTED_VALUE"""),-1.0)</f>
        <v>-1</v>
      </c>
      <c r="N13" s="11">
        <f>IFERROR(__xludf.DUMMYFUNCTION("""COMPUTED_VALUE"""),-1.0)</f>
        <v>-1</v>
      </c>
      <c r="O13" s="11" t="str">
        <f>IFERROR(__xludf.DUMMYFUNCTION("""COMPUTED_VALUE"""),"C")</f>
        <v>C</v>
      </c>
      <c r="P13" s="13">
        <f>IFERROR(__xludf.DUMMYFUNCTION("""COMPUTED_VALUE"""),2.0)</f>
        <v>2</v>
      </c>
      <c r="Q13" s="14" t="str">
        <f>IFERROR(__xludf.DUMMYFUNCTION("""COMPUTED_VALUE"""),"Enlarge. 1/day, +1d6 damage on melee attacks and ADV on STR checks for 3 rounds.")</f>
        <v>Enlarge. 1/day, +1d6 damage on melee attacks and ADV on STR checks for 3 rounds.</v>
      </c>
      <c r="R13" s="14" t="str">
        <f>IFERROR(__xludf.DUMMYFUNCTION("""COMPUTED_VALUE"""),"Invisibility. 1/day, turn invisible for 3 rounds. Ends if duergar attacks.")</f>
        <v>Invisibility. 1/day, turn invisible for 3 rounds. Ends if duergar attacks.</v>
      </c>
      <c r="S13" s="14" t="str">
        <f>IFERROR(__xludf.DUMMYFUNCTION("""COMPUTED_VALUE"""),"Sunblind. Blinded in bright light.")</f>
        <v>Sunblind. Blinded in bright light.</v>
      </c>
      <c r="T13" s="14"/>
      <c r="U13" s="14"/>
      <c r="V13" s="14"/>
      <c r="W13" s="11"/>
      <c r="X13" s="11"/>
      <c r="Y13" s="11"/>
      <c r="Z13" s="11"/>
      <c r="AA13" s="11"/>
      <c r="AB13" s="11"/>
    </row>
    <row r="14" ht="15.75" customHeight="1">
      <c r="A14" s="11" t="str">
        <f>IFERROR(__xludf.DUMMYFUNCTION("""COMPUTED_VALUE"""),"Dung Beetle, Giant")</f>
        <v>Dung Beetle, Giant</v>
      </c>
      <c r="B14" s="12" t="str">
        <f>IFERROR(__xludf.DUMMYFUNCTION("""COMPUTED_VALUE"""),"")</f>
        <v/>
      </c>
      <c r="C14" s="11" t="str">
        <f>IFERROR(__xludf.DUMMYFUNCTION("""COMPUTED_VALUE"""),"CR")</f>
        <v>CR</v>
      </c>
      <c r="D14" s="11" t="str">
        <f>IFERROR(__xludf.DUMMYFUNCTION("""COMPUTED_VALUE"""),"A trundling, barrel-sized beetle with a T-shaped horn.")</f>
        <v>A trundling, barrel-sized beetle with a T-shaped horn.</v>
      </c>
      <c r="E14" s="11">
        <f>IFERROR(__xludf.DUMMYFUNCTION("""COMPUTED_VALUE"""),13.0)</f>
        <v>13</v>
      </c>
      <c r="F14" s="11">
        <f>IFERROR(__xludf.DUMMYFUNCTION("""COMPUTED_VALUE"""),10.0)</f>
        <v>10</v>
      </c>
      <c r="G14" s="11" t="str">
        <f>IFERROR(__xludf.DUMMYFUNCTION("""COMPUTED_VALUE"""),"1 horn +1 (1d4 + knock)")</f>
        <v>1 horn +1 (1d4 + knock)</v>
      </c>
      <c r="H14" s="11" t="str">
        <f>IFERROR(__xludf.DUMMYFUNCTION("""COMPUTED_VALUE"""),"near")</f>
        <v>near</v>
      </c>
      <c r="I14" s="11">
        <f>IFERROR(__xludf.DUMMYFUNCTION("""COMPUTED_VALUE"""),1.0)</f>
        <v>1</v>
      </c>
      <c r="J14" s="11">
        <f>IFERROR(__xludf.DUMMYFUNCTION("""COMPUTED_VALUE"""),-1.0)</f>
        <v>-1</v>
      </c>
      <c r="K14" s="11">
        <f>IFERROR(__xludf.DUMMYFUNCTION("""COMPUTED_VALUE"""),1.0)</f>
        <v>1</v>
      </c>
      <c r="L14" s="11">
        <f>IFERROR(__xludf.DUMMYFUNCTION("""COMPUTED_VALUE"""),-3.0)</f>
        <v>-3</v>
      </c>
      <c r="M14" s="11">
        <f>IFERROR(__xludf.DUMMYFUNCTION("""COMPUTED_VALUE"""),-1.0)</f>
        <v>-1</v>
      </c>
      <c r="N14" s="11">
        <f>IFERROR(__xludf.DUMMYFUNCTION("""COMPUTED_VALUE"""),-3.0)</f>
        <v>-3</v>
      </c>
      <c r="O14" s="11" t="str">
        <f>IFERROR(__xludf.DUMMYFUNCTION("""COMPUTED_VALUE"""),"N")</f>
        <v>N</v>
      </c>
      <c r="P14" s="13">
        <f>IFERROR(__xludf.DUMMYFUNCTION("""COMPUTED_VALUE"""),2.0)</f>
        <v>2</v>
      </c>
      <c r="Q14" s="11" t="str">
        <f>IFERROR(__xludf.DUMMYFUNCTION("""COMPUTED_VALUE"""),"Knock. DC 9 STR or pushed a close distance and fall down.")</f>
        <v>Knock. DC 9 STR or pushed a close distance and fall down.</v>
      </c>
      <c r="R14" s="11"/>
      <c r="S14" s="11"/>
      <c r="T14" s="11"/>
      <c r="U14" s="11"/>
      <c r="V14" s="11"/>
      <c r="W14" s="11"/>
      <c r="X14" s="11"/>
      <c r="Y14" s="11"/>
      <c r="Z14" s="11"/>
      <c r="AA14" s="11"/>
      <c r="AB14" s="11"/>
    </row>
    <row r="15" ht="15.75" customHeight="1">
      <c r="A15" s="11" t="str">
        <f>IFERROR(__xludf.DUMMYFUNCTION("""COMPUTED_VALUE"""),"Elf")</f>
        <v>Elf</v>
      </c>
      <c r="B15" s="12" t="str">
        <f>IFERROR(__xludf.DUMMYFUNCTION("""COMPUTED_VALUE"""),"")</f>
        <v/>
      </c>
      <c r="C15" s="11" t="str">
        <f>IFERROR(__xludf.DUMMYFUNCTION("""COMPUTED_VALUE"""),"CR")</f>
        <v>CR</v>
      </c>
      <c r="D15" s="11" t="str">
        <f>IFERROR(__xludf.DUMMYFUNCTION("""COMPUTED_VALUE"""),"Ethereal, ageless fey-people infused with ancient magic.")</f>
        <v>Ethereal, ageless fey-people infused with ancient magic.</v>
      </c>
      <c r="E15" s="11">
        <f>IFERROR(__xludf.DUMMYFUNCTION("""COMPUTED_VALUE"""),13.0)</f>
        <v>13</v>
      </c>
      <c r="F15" s="11">
        <f>IFERROR(__xludf.DUMMYFUNCTION("""COMPUTED_VALUE"""),9.0)</f>
        <v>9</v>
      </c>
      <c r="G15" s="11" t="str">
        <f>IFERROR(__xludf.DUMMYFUNCTION("""COMPUTED_VALUE"""),"1 longbow (far) +3 (1d8) or 1 longsword +1 (1d8)")</f>
        <v>1 longbow (far) +3 (1d8) or 1 longsword +1 (1d8)</v>
      </c>
      <c r="H15" s="11" t="str">
        <f>IFERROR(__xludf.DUMMYFUNCTION("""COMPUTED_VALUE"""),"near")</f>
        <v>near</v>
      </c>
      <c r="I15" s="11">
        <f>IFERROR(__xludf.DUMMYFUNCTION("""COMPUTED_VALUE"""),0.0)</f>
        <v>0</v>
      </c>
      <c r="J15" s="11">
        <f>IFERROR(__xludf.DUMMYFUNCTION("""COMPUTED_VALUE"""),3.0)</f>
        <v>3</v>
      </c>
      <c r="K15" s="11">
        <f>IFERROR(__xludf.DUMMYFUNCTION("""COMPUTED_VALUE"""),0.0)</f>
        <v>0</v>
      </c>
      <c r="L15" s="11">
        <f>IFERROR(__xludf.DUMMYFUNCTION("""COMPUTED_VALUE"""),1.0)</f>
        <v>1</v>
      </c>
      <c r="M15" s="11">
        <f>IFERROR(__xludf.DUMMYFUNCTION("""COMPUTED_VALUE"""),1.0)</f>
        <v>1</v>
      </c>
      <c r="N15" s="11">
        <f>IFERROR(__xludf.DUMMYFUNCTION("""COMPUTED_VALUE"""),1.0)</f>
        <v>1</v>
      </c>
      <c r="O15" s="11" t="str">
        <f>IFERROR(__xludf.DUMMYFUNCTION("""COMPUTED_VALUE"""),"L")</f>
        <v>L</v>
      </c>
      <c r="P15" s="13">
        <f>IFERROR(__xludf.DUMMYFUNCTION("""COMPUTED_VALUE"""),2.0)</f>
        <v>2</v>
      </c>
      <c r="Q15" s="11" t="str">
        <f>IFERROR(__xludf.DUMMYFUNCTION("""COMPUTED_VALUE"""),"Feyblood. ADV on DEX checks while in the natural wilds.")</f>
        <v>Feyblood. ADV on DEX checks while in the natural wilds.</v>
      </c>
      <c r="R15" s="11"/>
      <c r="S15" s="11"/>
      <c r="T15" s="11"/>
      <c r="U15" s="11"/>
      <c r="V15" s="11"/>
      <c r="W15" s="11"/>
      <c r="X15" s="11"/>
      <c r="Y15" s="11"/>
      <c r="Z15" s="11"/>
      <c r="AA15" s="11"/>
      <c r="AB15" s="11"/>
    </row>
    <row r="16" ht="15.75" customHeight="1">
      <c r="A16" s="11" t="str">
        <f>IFERROR(__xludf.DUMMYFUNCTION("""COMPUTED_VALUE"""),"Frog, Giant")</f>
        <v>Frog, Giant</v>
      </c>
      <c r="B16" s="12">
        <f>IFERROR(__xludf.DUMMYFUNCTION("""COMPUTED_VALUE"""),0.25)</f>
        <v>0.25</v>
      </c>
      <c r="C16" s="11" t="str">
        <f>IFERROR(__xludf.DUMMYFUNCTION("""COMPUTED_VALUE"""),"CR")</f>
        <v>CR</v>
      </c>
      <c r="D16" s="11" t="str">
        <f>IFERROR(__xludf.DUMMYFUNCTION("""COMPUTED_VALUE"""),"Human-sized frogs with warty skin and long, sticky tongues.")</f>
        <v>Human-sized frogs with warty skin and long, sticky tongues.</v>
      </c>
      <c r="E16" s="11">
        <f>IFERROR(__xludf.DUMMYFUNCTION("""COMPUTED_VALUE"""),12.0)</f>
        <v>12</v>
      </c>
      <c r="F16" s="11">
        <f>IFERROR(__xludf.DUMMYFUNCTION("""COMPUTED_VALUE"""),10.0)</f>
        <v>10</v>
      </c>
      <c r="G16" s="11" t="str">
        <f>IFERROR(__xludf.DUMMYFUNCTION("""COMPUTED_VALUE"""),"1 tongue and 1 bite +2 (1d6)")</f>
        <v>1 tongue and 1 bite +2 (1d6)</v>
      </c>
      <c r="H16" s="11" t="str">
        <f>IFERROR(__xludf.DUMMYFUNCTION("""COMPUTED_VALUE"""),"near (swim)")</f>
        <v>near (swim)</v>
      </c>
      <c r="I16" s="11">
        <f>IFERROR(__xludf.DUMMYFUNCTION("""COMPUTED_VALUE"""),2.0)</f>
        <v>2</v>
      </c>
      <c r="J16" s="11">
        <f>IFERROR(__xludf.DUMMYFUNCTION("""COMPUTED_VALUE"""),2.0)</f>
        <v>2</v>
      </c>
      <c r="K16" s="11">
        <f>IFERROR(__xludf.DUMMYFUNCTION("""COMPUTED_VALUE"""),1.0)</f>
        <v>1</v>
      </c>
      <c r="L16" s="11">
        <f>IFERROR(__xludf.DUMMYFUNCTION("""COMPUTED_VALUE"""),-3.0)</f>
        <v>-3</v>
      </c>
      <c r="M16" s="11">
        <f>IFERROR(__xludf.DUMMYFUNCTION("""COMPUTED_VALUE"""),0.0)</f>
        <v>0</v>
      </c>
      <c r="N16" s="11">
        <f>IFERROR(__xludf.DUMMYFUNCTION("""COMPUTED_VALUE"""),-3.0)</f>
        <v>-3</v>
      </c>
      <c r="O16" s="11" t="str">
        <f>IFERROR(__xludf.DUMMYFUNCTION("""COMPUTED_VALUE"""),"N")</f>
        <v>N</v>
      </c>
      <c r="P16" s="13">
        <f>IFERROR(__xludf.DUMMYFUNCTION("""COMPUTED_VALUE"""),2.0)</f>
        <v>2</v>
      </c>
      <c r="Q16" s="11" t="str">
        <f>IFERROR(__xludf.DUMMYFUNCTION("""COMPUTED_VALUE"""),"Tongue. 1 creature in near DC 12 DEX or pulled to close range.")</f>
        <v>Tongue. 1 creature in near DC 12 DEX or pulled to close range.</v>
      </c>
      <c r="R16" s="11"/>
      <c r="S16" s="11"/>
      <c r="T16" s="11"/>
      <c r="U16" s="11"/>
      <c r="V16" s="11"/>
      <c r="W16" s="11"/>
      <c r="X16" s="11"/>
      <c r="Y16" s="11"/>
      <c r="Z16" s="11"/>
      <c r="AA16" s="11"/>
      <c r="AB16" s="11"/>
    </row>
    <row r="17" ht="15.75" customHeight="1">
      <c r="A17" s="11" t="str">
        <f>IFERROR(__xludf.DUMMYFUNCTION("""COMPUTED_VALUE"""),"Ghoul")</f>
        <v>Ghoul</v>
      </c>
      <c r="B17" s="12">
        <f>IFERROR(__xludf.DUMMYFUNCTION("""COMPUTED_VALUE"""),1.0)</f>
        <v>1</v>
      </c>
      <c r="C17" s="11" t="str">
        <f>IFERROR(__xludf.DUMMYFUNCTION("""COMPUTED_VALUE"""),"CR")</f>
        <v>CR</v>
      </c>
      <c r="D17" s="11" t="str">
        <f>IFERROR(__xludf.DUMMYFUNCTION("""COMPUTED_VALUE"""),"Gray-skinned, slavering undead with whipping tongues and flat, reptilian faces.")</f>
        <v>Gray-skinned, slavering undead with whipping tongues and flat, reptilian faces.</v>
      </c>
      <c r="E17" s="11">
        <f>IFERROR(__xludf.DUMMYFUNCTION("""COMPUTED_VALUE"""),11.0)</f>
        <v>11</v>
      </c>
      <c r="F17" s="11">
        <f>IFERROR(__xludf.DUMMYFUNCTION("""COMPUTED_VALUE"""),11.0)</f>
        <v>11</v>
      </c>
      <c r="G17" s="11" t="str">
        <f>IFERROR(__xludf.DUMMYFUNCTION("""COMPUTED_VALUE"""),"1 claw +2 (1d6 + paralyze)")</f>
        <v>1 claw +2 (1d6 + paralyze)</v>
      </c>
      <c r="H17" s="11" t="str">
        <f>IFERROR(__xludf.DUMMYFUNCTION("""COMPUTED_VALUE"""),"near")</f>
        <v>near</v>
      </c>
      <c r="I17" s="11">
        <f>IFERROR(__xludf.DUMMYFUNCTION("""COMPUTED_VALUE"""),2.0)</f>
        <v>2</v>
      </c>
      <c r="J17" s="11">
        <f>IFERROR(__xludf.DUMMYFUNCTION("""COMPUTED_VALUE"""),1.0)</f>
        <v>1</v>
      </c>
      <c r="K17" s="11">
        <f>IFERROR(__xludf.DUMMYFUNCTION("""COMPUTED_VALUE"""),2.0)</f>
        <v>2</v>
      </c>
      <c r="L17" s="11">
        <f>IFERROR(__xludf.DUMMYFUNCTION("""COMPUTED_VALUE"""),-3.0)</f>
        <v>-3</v>
      </c>
      <c r="M17" s="11">
        <f>IFERROR(__xludf.DUMMYFUNCTION("""COMPUTED_VALUE"""),-1.0)</f>
        <v>-1</v>
      </c>
      <c r="N17" s="11">
        <f>IFERROR(__xludf.DUMMYFUNCTION("""COMPUTED_VALUE"""),0.0)</f>
        <v>0</v>
      </c>
      <c r="O17" s="11" t="str">
        <f>IFERROR(__xludf.DUMMYFUNCTION("""COMPUTED_VALUE"""),"C")</f>
        <v>C</v>
      </c>
      <c r="P17" s="13">
        <f>IFERROR(__xludf.DUMMYFUNCTION("""COMPUTED_VALUE"""),2.0)</f>
        <v>2</v>
      </c>
      <c r="Q17" s="11" t="str">
        <f>IFERROR(__xludf.DUMMYFUNCTION("""COMPUTED_VALUE"""),"Undead. Immune to morale checks.")</f>
        <v>Undead. Immune to morale checks.</v>
      </c>
      <c r="R17" s="11" t="str">
        <f>IFERROR(__xludf.DUMMYFUNCTION("""COMPUTED_VALUE"""),"Paralyze. DC 12 CON or paralyzed 1d4 rounds.")</f>
        <v>Paralyze. DC 12 CON or paralyzed 1d4 rounds.</v>
      </c>
      <c r="S17" s="11"/>
      <c r="T17" s="11"/>
      <c r="U17" s="11"/>
      <c r="V17" s="11"/>
      <c r="W17" s="11"/>
      <c r="X17" s="11"/>
      <c r="Y17" s="11"/>
      <c r="Z17" s="11"/>
      <c r="AA17" s="11"/>
      <c r="AB17" s="11"/>
    </row>
    <row r="18" ht="15.75" customHeight="1">
      <c r="A18" s="11" t="str">
        <f>IFERROR(__xludf.DUMMYFUNCTION("""COMPUTED_VALUE"""),"Gnoll")</f>
        <v>Gnoll</v>
      </c>
      <c r="B18" s="12">
        <f>IFERROR(__xludf.DUMMYFUNCTION("""COMPUTED_VALUE"""),0.5)</f>
        <v>0.5</v>
      </c>
      <c r="C18" s="11" t="str">
        <f>IFERROR(__xludf.DUMMYFUNCTION("""COMPUTED_VALUE"""),"CR")</f>
        <v>CR</v>
      </c>
      <c r="D18" s="11" t="str">
        <f>IFERROR(__xludf.DUMMYFUNCTION("""COMPUTED_VALUE"""),"Barbaric, opportunistic hyenafolk who range in large packs.")</f>
        <v>Barbaric, opportunistic hyenafolk who range in large packs.</v>
      </c>
      <c r="E18" s="11" t="str">
        <f>IFERROR(__xludf.DUMMYFUNCTION("""COMPUTED_VALUE"""),"12 (leather)")</f>
        <v>12 (leather)</v>
      </c>
      <c r="F18" s="11">
        <f>IFERROR(__xludf.DUMMYFUNCTION("""COMPUTED_VALUE"""),10.0)</f>
        <v>10</v>
      </c>
      <c r="G18" s="11" t="str">
        <f>IFERROR(__xludf.DUMMYFUNCTION("""COMPUTED_VALUE"""),"1 spear (close/near) +1 (1d6) or 1 longbow (far) +1 (1d8)")</f>
        <v>1 spear (close/near) +1 (1d6) or 1 longbow (far) +1 (1d8)</v>
      </c>
      <c r="H18" s="11" t="str">
        <f>IFERROR(__xludf.DUMMYFUNCTION("""COMPUTED_VALUE"""),"near")</f>
        <v>near</v>
      </c>
      <c r="I18" s="11">
        <f>IFERROR(__xludf.DUMMYFUNCTION("""COMPUTED_VALUE"""),1.0)</f>
        <v>1</v>
      </c>
      <c r="J18" s="11">
        <f>IFERROR(__xludf.DUMMYFUNCTION("""COMPUTED_VALUE"""),1.0)</f>
        <v>1</v>
      </c>
      <c r="K18" s="11">
        <f>IFERROR(__xludf.DUMMYFUNCTION("""COMPUTED_VALUE"""),1.0)</f>
        <v>1</v>
      </c>
      <c r="L18" s="11">
        <f>IFERROR(__xludf.DUMMYFUNCTION("""COMPUTED_VALUE"""),-1.0)</f>
        <v>-1</v>
      </c>
      <c r="M18" s="11">
        <f>IFERROR(__xludf.DUMMYFUNCTION("""COMPUTED_VALUE"""),0.0)</f>
        <v>0</v>
      </c>
      <c r="N18" s="11">
        <f>IFERROR(__xludf.DUMMYFUNCTION("""COMPUTED_VALUE"""),-1.0)</f>
        <v>-1</v>
      </c>
      <c r="O18" s="11" t="str">
        <f>IFERROR(__xludf.DUMMYFUNCTION("""COMPUTED_VALUE"""),"C")</f>
        <v>C</v>
      </c>
      <c r="P18" s="13">
        <f>IFERROR(__xludf.DUMMYFUNCTION("""COMPUTED_VALUE"""),2.0)</f>
        <v>2</v>
      </c>
      <c r="Q18" s="11" t="str">
        <f>IFERROR(__xludf.DUMMYFUNCTION("""COMPUTED_VALUE"""),"Rage. 1/day, immune to morale checks, +1d4 damage (3 rounds).")</f>
        <v>Rage. 1/day, immune to morale checks, +1d4 damage (3 rounds).</v>
      </c>
      <c r="R18" s="11"/>
      <c r="S18" s="11"/>
      <c r="T18" s="11"/>
      <c r="U18" s="11"/>
      <c r="V18" s="11"/>
      <c r="W18" s="11"/>
      <c r="X18" s="11"/>
      <c r="Y18" s="11"/>
      <c r="Z18" s="11"/>
      <c r="AA18" s="11"/>
      <c r="AB18" s="11"/>
    </row>
    <row r="19" ht="15.75" customHeight="1">
      <c r="A19" s="11" t="str">
        <f>IFERROR(__xludf.DUMMYFUNCTION("""COMPUTED_VALUE"""),"Gray Ooze")</f>
        <v>Gray Ooze</v>
      </c>
      <c r="B19" s="12">
        <f>IFERROR(__xludf.DUMMYFUNCTION("""COMPUTED_VALUE"""),0.5)</f>
        <v>0.5</v>
      </c>
      <c r="C19" s="11" t="str">
        <f>IFERROR(__xludf.DUMMYFUNCTION("""COMPUTED_VALUE"""),"CR")</f>
        <v>CR</v>
      </c>
      <c r="D19" s="11" t="str">
        <f>IFERROR(__xludf.DUMMYFUNCTION("""COMPUTED_VALUE"""),"Slick puddles the color of stone.")</f>
        <v>Slick puddles the color of stone.</v>
      </c>
      <c r="E19" s="11">
        <f>IFERROR(__xludf.DUMMYFUNCTION("""COMPUTED_VALUE"""),11.0)</f>
        <v>11</v>
      </c>
      <c r="F19" s="11">
        <f>IFERROR(__xludf.DUMMYFUNCTION("""COMPUTED_VALUE"""),9.0)</f>
        <v>9</v>
      </c>
      <c r="G19" s="11" t="str">
        <f>IFERROR(__xludf.DUMMYFUNCTION("""COMPUTED_VALUE"""),"1 tentacle +2 (1d6)")</f>
        <v>1 tentacle +2 (1d6)</v>
      </c>
      <c r="H19" s="11" t="str">
        <f>IFERROR(__xludf.DUMMYFUNCTION("""COMPUTED_VALUE"""),"near (climb)")</f>
        <v>near (climb)</v>
      </c>
      <c r="I19" s="11">
        <f>IFERROR(__xludf.DUMMYFUNCTION("""COMPUTED_VALUE"""),1.0)</f>
        <v>1</v>
      </c>
      <c r="J19" s="11">
        <f>IFERROR(__xludf.DUMMYFUNCTION("""COMPUTED_VALUE"""),1.0)</f>
        <v>1</v>
      </c>
      <c r="K19" s="11">
        <f>IFERROR(__xludf.DUMMYFUNCTION("""COMPUTED_VALUE"""),0.0)</f>
        <v>0</v>
      </c>
      <c r="L19" s="11">
        <f>IFERROR(__xludf.DUMMYFUNCTION("""COMPUTED_VALUE"""),-4.0)</f>
        <v>-4</v>
      </c>
      <c r="M19" s="11">
        <f>IFERROR(__xludf.DUMMYFUNCTION("""COMPUTED_VALUE"""),-3.0)</f>
        <v>-3</v>
      </c>
      <c r="N19" s="11">
        <f>IFERROR(__xludf.DUMMYFUNCTION("""COMPUTED_VALUE"""),-4.0)</f>
        <v>-4</v>
      </c>
      <c r="O19" s="11" t="str">
        <f>IFERROR(__xludf.DUMMYFUNCTION("""COMPUTED_VALUE"""),"N")</f>
        <v>N</v>
      </c>
      <c r="P19" s="13">
        <f>IFERROR(__xludf.DUMMYFUNCTION("""COMPUTED_VALUE"""),2.0)</f>
        <v>2</v>
      </c>
      <c r="Q19" s="11" t="str">
        <f>IFERROR(__xludf.DUMMYFUNCTION("""COMPUTED_VALUE"""),"Impervious. Immune to damage from acid, cold, or fire.")</f>
        <v>Impervious. Immune to damage from acid, cold, or fire.</v>
      </c>
      <c r="R19" s="11" t="str">
        <f>IFERROR(__xludf.DUMMYFUNCTION("""COMPUTED_VALUE"""),"Corrosive. Nonmagical metal that touches the ooze dissolves on a d6 roll of 1-3.")</f>
        <v>Corrosive. Nonmagical metal that touches the ooze dissolves on a d6 roll of 1-3.</v>
      </c>
      <c r="S19" s="11"/>
      <c r="T19" s="11"/>
      <c r="U19" s="11"/>
      <c r="V19" s="11"/>
      <c r="W19" s="11"/>
      <c r="X19" s="11"/>
      <c r="Y19" s="11"/>
      <c r="Z19" s="11"/>
      <c r="AA19" s="11"/>
      <c r="AB19" s="11"/>
    </row>
    <row r="20" ht="15.75" customHeight="1">
      <c r="A20" s="11" t="str">
        <f>IFERROR(__xludf.DUMMYFUNCTION("""COMPUTED_VALUE"""),"Hobgoblin")</f>
        <v>Hobgoblin</v>
      </c>
      <c r="B20" s="12">
        <f>IFERROR(__xludf.DUMMYFUNCTION("""COMPUTED_VALUE"""),0.5)</f>
        <v>0.5</v>
      </c>
      <c r="C20" s="11" t="str">
        <f>IFERROR(__xludf.DUMMYFUNCTION("""COMPUTED_VALUE"""),"CR")</f>
        <v>CR</v>
      </c>
      <c r="D20" s="11" t="str">
        <f>IFERROR(__xludf.DUMMYFUNCTION("""COMPUTED_VALUE"""),"A sturdy, tall goblin with russet skin. Militant and strategic.")</f>
        <v>A sturdy, tall goblin with russet skin. Militant and strategic.</v>
      </c>
      <c r="E20" s="11">
        <f>IFERROR(__xludf.DUMMYFUNCTION("""COMPUTED_VALUE"""),15.0)</f>
        <v>15</v>
      </c>
      <c r="F20" s="11">
        <f>IFERROR(__xludf.DUMMYFUNCTION("""COMPUTED_VALUE"""),10.0)</f>
        <v>10</v>
      </c>
      <c r="G20" s="11" t="str">
        <f>IFERROR(__xludf.DUMMYFUNCTION("""COMPUTED_VALUE"""),"1 longsword +3 (1d8) or 1 longbow (far) +0 (1d8)")</f>
        <v>1 longsword +3 (1d8) or 1 longbow (far) +0 (1d8)</v>
      </c>
      <c r="H20" s="11" t="str">
        <f>IFERROR(__xludf.DUMMYFUNCTION("""COMPUTED_VALUE"""),"near")</f>
        <v>near</v>
      </c>
      <c r="I20" s="11">
        <f>IFERROR(__xludf.DUMMYFUNCTION("""COMPUTED_VALUE"""),3.0)</f>
        <v>3</v>
      </c>
      <c r="J20" s="11">
        <f>IFERROR(__xludf.DUMMYFUNCTION("""COMPUTED_VALUE"""),0.0)</f>
        <v>0</v>
      </c>
      <c r="K20" s="11">
        <f>IFERROR(__xludf.DUMMYFUNCTION("""COMPUTED_VALUE"""),1.0)</f>
        <v>1</v>
      </c>
      <c r="L20" s="11">
        <f>IFERROR(__xludf.DUMMYFUNCTION("""COMPUTED_VALUE"""),2.0)</f>
        <v>2</v>
      </c>
      <c r="M20" s="11">
        <f>IFERROR(__xludf.DUMMYFUNCTION("""COMPUTED_VALUE"""),1.0)</f>
        <v>1</v>
      </c>
      <c r="N20" s="11">
        <f>IFERROR(__xludf.DUMMYFUNCTION("""COMPUTED_VALUE"""),1.0)</f>
        <v>1</v>
      </c>
      <c r="O20" s="11" t="str">
        <f>IFERROR(__xludf.DUMMYFUNCTION("""COMPUTED_VALUE"""),"C")</f>
        <v>C</v>
      </c>
      <c r="P20" s="13">
        <f>IFERROR(__xludf.DUMMYFUNCTION("""COMPUTED_VALUE"""),2.0)</f>
        <v>2</v>
      </c>
      <c r="Q20" s="11" t="str">
        <f>IFERROR(__xludf.DUMMYFUNCTION("""COMPUTED_VALUE"""),"Phalanx. +1 to attacks and AC when in close range of an allied hobgoblin.")</f>
        <v>Phalanx. +1 to attacks and AC when in close range of an allied hobgoblin.</v>
      </c>
      <c r="R20" s="11"/>
      <c r="S20" s="11"/>
      <c r="T20" s="11"/>
      <c r="U20" s="11"/>
      <c r="V20" s="11"/>
      <c r="W20" s="11"/>
      <c r="X20" s="11"/>
      <c r="Y20" s="11"/>
      <c r="Z20" s="11"/>
      <c r="AA20" s="11"/>
      <c r="AB20" s="11"/>
    </row>
    <row r="21" ht="15.75" customHeight="1">
      <c r="A21" s="11" t="str">
        <f>IFERROR(__xludf.DUMMYFUNCTION("""COMPUTED_VALUE"""),"Horse")</f>
        <v>Horse</v>
      </c>
      <c r="B21" s="12">
        <f>IFERROR(__xludf.DUMMYFUNCTION("""COMPUTED_VALUE"""),0.25)</f>
        <v>0.25</v>
      </c>
      <c r="C21" s="11" t="str">
        <f>IFERROR(__xludf.DUMMYFUNCTION("""COMPUTED_VALUE"""),"CR")</f>
        <v>CR</v>
      </c>
      <c r="D21" s="11" t="str">
        <f>IFERROR(__xludf.DUMMYFUNCTION("""COMPUTED_VALUE"""),"Powerful, swift herd animals that roam open plains.")</f>
        <v>Powerful, swift herd animals that roam open plains.</v>
      </c>
      <c r="E21" s="11">
        <f>IFERROR(__xludf.DUMMYFUNCTION("""COMPUTED_VALUE"""),11.0)</f>
        <v>11</v>
      </c>
      <c r="F21" s="11">
        <f>IFERROR(__xludf.DUMMYFUNCTION("""COMPUTED_VALUE"""),11.0)</f>
        <v>11</v>
      </c>
      <c r="G21" s="11" t="str">
        <f>IFERROR(__xludf.DUMMYFUNCTION("""COMPUTED_VALUE"""),"1 hooves +3 (1d6)")</f>
        <v>1 hooves +3 (1d6)</v>
      </c>
      <c r="H21" s="11" t="str">
        <f>IFERROR(__xludf.DUMMYFUNCTION("""COMPUTED_VALUE"""),"double near")</f>
        <v>double near</v>
      </c>
      <c r="I21" s="11">
        <f>IFERROR(__xludf.DUMMYFUNCTION("""COMPUTED_VALUE"""),3.0)</f>
        <v>3</v>
      </c>
      <c r="J21" s="11">
        <f>IFERROR(__xludf.DUMMYFUNCTION("""COMPUTED_VALUE"""),1.0)</f>
        <v>1</v>
      </c>
      <c r="K21" s="11">
        <f>IFERROR(__xludf.DUMMYFUNCTION("""COMPUTED_VALUE"""),2.0)</f>
        <v>2</v>
      </c>
      <c r="L21" s="11">
        <f>IFERROR(__xludf.DUMMYFUNCTION("""COMPUTED_VALUE"""),-3.0)</f>
        <v>-3</v>
      </c>
      <c r="M21" s="11">
        <f>IFERROR(__xludf.DUMMYFUNCTION("""COMPUTED_VALUE"""),1.0)</f>
        <v>1</v>
      </c>
      <c r="N21" s="11">
        <f>IFERROR(__xludf.DUMMYFUNCTION("""COMPUTED_VALUE"""),-2.0)</f>
        <v>-2</v>
      </c>
      <c r="O21" s="11" t="str">
        <f>IFERROR(__xludf.DUMMYFUNCTION("""COMPUTED_VALUE"""),"N")</f>
        <v>N</v>
      </c>
      <c r="P21" s="13">
        <f>IFERROR(__xludf.DUMMYFUNCTION("""COMPUTED_VALUE"""),2.0)</f>
        <v>2</v>
      </c>
      <c r="Q21" s="11"/>
      <c r="R21" s="11"/>
      <c r="S21" s="11"/>
      <c r="T21" s="11"/>
      <c r="U21" s="11"/>
      <c r="V21" s="11"/>
      <c r="W21" s="11"/>
      <c r="X21" s="11"/>
      <c r="Y21" s="11"/>
      <c r="Z21" s="11"/>
      <c r="AA21" s="11"/>
      <c r="AB21" s="11"/>
    </row>
    <row r="22" ht="15.75" customHeight="1">
      <c r="A22" s="11" t="str">
        <f>IFERROR(__xludf.DUMMYFUNCTION("""COMPUTED_VALUE"""),"Leech, Giant")</f>
        <v>Leech, Giant</v>
      </c>
      <c r="B22" s="12" t="str">
        <f>IFERROR(__xludf.DUMMYFUNCTION("""COMPUTED_VALUE"""),"")</f>
        <v/>
      </c>
      <c r="C22" s="11" t="str">
        <f>IFERROR(__xludf.DUMMYFUNCTION("""COMPUTED_VALUE"""),"CR")</f>
        <v>CR</v>
      </c>
      <c r="D22" s="11" t="str">
        <f>IFERROR(__xludf.DUMMYFUNCTION("""COMPUTED_VALUE"""),"A glossy black, blood-drinking slug as large as a cat.")</f>
        <v>A glossy black, blood-drinking slug as large as a cat.</v>
      </c>
      <c r="E22" s="11">
        <f>IFERROR(__xludf.DUMMYFUNCTION("""COMPUTED_VALUE"""),9.0)</f>
        <v>9</v>
      </c>
      <c r="F22" s="11">
        <f>IFERROR(__xludf.DUMMYFUNCTION("""COMPUTED_VALUE"""),10.0)</f>
        <v>10</v>
      </c>
      <c r="G22" s="11" t="str">
        <f>IFERROR(__xludf.DUMMYFUNCTION("""COMPUTED_VALUE"""),"1 bite +1 (1d4 + attach)")</f>
        <v>1 bite +1 (1d4 + attach)</v>
      </c>
      <c r="H22" s="11" t="str">
        <f>IFERROR(__xludf.DUMMYFUNCTION("""COMPUTED_VALUE"""),"near (swim)")</f>
        <v>near (swim)</v>
      </c>
      <c r="I22" s="11">
        <f>IFERROR(__xludf.DUMMYFUNCTION("""COMPUTED_VALUE"""),1.0)</f>
        <v>1</v>
      </c>
      <c r="J22" s="11">
        <f>IFERROR(__xludf.DUMMYFUNCTION("""COMPUTED_VALUE"""),-1.0)</f>
        <v>-1</v>
      </c>
      <c r="K22" s="11">
        <f>IFERROR(__xludf.DUMMYFUNCTION("""COMPUTED_VALUE"""),1.0)</f>
        <v>1</v>
      </c>
      <c r="L22" s="11">
        <f>IFERROR(__xludf.DUMMYFUNCTION("""COMPUTED_VALUE"""),-3.0)</f>
        <v>-3</v>
      </c>
      <c r="M22" s="11">
        <f>IFERROR(__xludf.DUMMYFUNCTION("""COMPUTED_VALUE"""),-1.0)</f>
        <v>-1</v>
      </c>
      <c r="N22" s="11">
        <f>IFERROR(__xludf.DUMMYFUNCTION("""COMPUTED_VALUE"""),-3.0)</f>
        <v>-3</v>
      </c>
      <c r="O22" s="11" t="str">
        <f>IFERROR(__xludf.DUMMYFUNCTION("""COMPUTED_VALUE"""),"N")</f>
        <v>N</v>
      </c>
      <c r="P22" s="13">
        <f>IFERROR(__xludf.DUMMYFUNCTION("""COMPUTED_VALUE"""),2.0)</f>
        <v>2</v>
      </c>
      <c r="Q22" s="11" t="str">
        <f>IFERROR(__xludf.DUMMYFUNCTION("""COMPUTED_VALUE"""),"Attach. Attach to target; bite auto-hits next round. DC 12 STR on turn to tear off.")</f>
        <v>Attach. Attach to target; bite auto-hits next round. DC 12 STR on turn to tear off.</v>
      </c>
      <c r="R22" s="11"/>
      <c r="S22" s="11"/>
      <c r="T22" s="11"/>
      <c r="U22" s="11"/>
      <c r="V22" s="11"/>
      <c r="W22" s="11"/>
      <c r="X22" s="11"/>
      <c r="Y22" s="11"/>
      <c r="Z22" s="11"/>
      <c r="AA22" s="11"/>
      <c r="AB22" s="11"/>
    </row>
    <row r="23" ht="15.75" customHeight="1">
      <c r="A23" s="11" t="str">
        <f>IFERROR(__xludf.DUMMYFUNCTION("""COMPUTED_VALUE"""),"Lizardfolk")</f>
        <v>Lizardfolk</v>
      </c>
      <c r="B23" s="12">
        <f>IFERROR(__xludf.DUMMYFUNCTION("""COMPUTED_VALUE"""),0.5)</f>
        <v>0.5</v>
      </c>
      <c r="C23" s="11" t="str">
        <f>IFERROR(__xludf.DUMMYFUNCTION("""COMPUTED_VALUE"""),"CR")</f>
        <v>CR</v>
      </c>
      <c r="D23" s="11" t="str">
        <f>IFERROR(__xludf.DUMMYFUNCTION("""COMPUTED_VALUE"""),"Crocodilian humanoids with scaly faces, claws, and tails. They dwell in swamps and rivers.")</f>
        <v>Crocodilian humanoids with scaly faces, claws, and tails. They dwell in swamps and rivers.</v>
      </c>
      <c r="E23" s="11" t="str">
        <f>IFERROR(__xludf.DUMMYFUNCTION("""COMPUTED_VALUE"""),"14 (leather + shield)")</f>
        <v>14 (leather + shield)</v>
      </c>
      <c r="F23" s="11">
        <f>IFERROR(__xludf.DUMMYFUNCTION("""COMPUTED_VALUE"""),11.0)</f>
        <v>11</v>
      </c>
      <c r="G23" s="11" t="str">
        <f>IFERROR(__xludf.DUMMYFUNCTION("""COMPUTED_VALUE"""),"1 spear (close/near) +2 (1d6)")</f>
        <v>1 spear (close/near) +2 (1d6)</v>
      </c>
      <c r="H23" s="11" t="str">
        <f>IFERROR(__xludf.DUMMYFUNCTION("""COMPUTED_VALUE"""),"near (swim)")</f>
        <v>near (swim)</v>
      </c>
      <c r="I23" s="11">
        <f>IFERROR(__xludf.DUMMYFUNCTION("""COMPUTED_VALUE"""),1.0)</f>
        <v>1</v>
      </c>
      <c r="J23" s="11">
        <f>IFERROR(__xludf.DUMMYFUNCTION("""COMPUTED_VALUE"""),1.0)</f>
        <v>1</v>
      </c>
      <c r="K23" s="11">
        <f>IFERROR(__xludf.DUMMYFUNCTION("""COMPUTED_VALUE"""),2.0)</f>
        <v>2</v>
      </c>
      <c r="L23" s="11">
        <f>IFERROR(__xludf.DUMMYFUNCTION("""COMPUTED_VALUE"""),-1.0)</f>
        <v>-1</v>
      </c>
      <c r="M23" s="11">
        <f>IFERROR(__xludf.DUMMYFUNCTION("""COMPUTED_VALUE"""),1.0)</f>
        <v>1</v>
      </c>
      <c r="N23" s="11">
        <f>IFERROR(__xludf.DUMMYFUNCTION("""COMPUTED_VALUE"""),-2.0)</f>
        <v>-2</v>
      </c>
      <c r="O23" s="11" t="str">
        <f>IFERROR(__xludf.DUMMYFUNCTION("""COMPUTED_VALUE"""),"C")</f>
        <v>C</v>
      </c>
      <c r="P23" s="13">
        <f>IFERROR(__xludf.DUMMYFUNCTION("""COMPUTED_VALUE"""),2.0)</f>
        <v>2</v>
      </c>
      <c r="Q23" s="11"/>
      <c r="R23" s="11"/>
      <c r="S23" s="11"/>
      <c r="T23" s="11"/>
      <c r="U23" s="11"/>
      <c r="V23" s="11"/>
      <c r="W23" s="11"/>
      <c r="X23" s="11"/>
      <c r="Y23" s="11"/>
      <c r="Z23" s="11"/>
      <c r="AA23" s="11"/>
      <c r="AB23" s="11"/>
    </row>
    <row r="24" ht="15.75" customHeight="1">
      <c r="A24" s="11" t="str">
        <f>IFERROR(__xludf.DUMMYFUNCTION("""COMPUTED_VALUE"""),"Merfolk")</f>
        <v>Merfolk</v>
      </c>
      <c r="B24" s="12">
        <f>IFERROR(__xludf.DUMMYFUNCTION("""COMPUTED_VALUE"""),0.125)</f>
        <v>0.125</v>
      </c>
      <c r="C24" s="11" t="str">
        <f>IFERROR(__xludf.DUMMYFUNCTION("""COMPUTED_VALUE"""),"CR")</f>
        <v>CR</v>
      </c>
      <c r="D24" s="11" t="str">
        <f>IFERROR(__xludf.DUMMYFUNCTION("""COMPUTED_VALUE"""),"Ocean dwellers with human")</f>
        <v>Ocean dwellers with human</v>
      </c>
      <c r="E24" s="11">
        <f>IFERROR(__xludf.DUMMYFUNCTION("""COMPUTED_VALUE"""),11.0)</f>
        <v>11</v>
      </c>
      <c r="F24" s="11">
        <f>IFERROR(__xludf.DUMMYFUNCTION("""COMPUTED_VALUE"""),9.0)</f>
        <v>9</v>
      </c>
      <c r="G24" s="14" t="str">
        <f>IFERROR(__xludf.DUMMYFUNCTION("""COMPUTED_VALUE"""),"1 spear (close/near) +2 (1d6)")</f>
        <v>1 spear (close/near) +2 (1d6)</v>
      </c>
      <c r="H24" s="11" t="str">
        <f>IFERROR(__xludf.DUMMYFUNCTION("""COMPUTED_VALUE"""),"near(swim)")</f>
        <v>near(swim)</v>
      </c>
      <c r="I24" s="11">
        <f>IFERROR(__xludf.DUMMYFUNCTION("""COMPUTED_VALUE"""),1.0)</f>
        <v>1</v>
      </c>
      <c r="J24" s="11">
        <f>IFERROR(__xludf.DUMMYFUNCTION("""COMPUTED_VALUE"""),1.0)</f>
        <v>1</v>
      </c>
      <c r="K24" s="11">
        <f>IFERROR(__xludf.DUMMYFUNCTION("""COMPUTED_VALUE"""),0.0)</f>
        <v>0</v>
      </c>
      <c r="L24" s="11">
        <f>IFERROR(__xludf.DUMMYFUNCTION("""COMPUTED_VALUE"""),0.0)</f>
        <v>0</v>
      </c>
      <c r="M24" s="11">
        <f>IFERROR(__xludf.DUMMYFUNCTION("""COMPUTED_VALUE"""),1.0)</f>
        <v>1</v>
      </c>
      <c r="N24" s="11">
        <f>IFERROR(__xludf.DUMMYFUNCTION("""COMPUTED_VALUE"""),1.0)</f>
        <v>1</v>
      </c>
      <c r="O24" s="11" t="str">
        <f>IFERROR(__xludf.DUMMYFUNCTION("""COMPUTED_VALUE"""),"L")</f>
        <v>L</v>
      </c>
      <c r="P24" s="13">
        <f>IFERROR(__xludf.DUMMYFUNCTION("""COMPUTED_VALUE"""),2.0)</f>
        <v>2</v>
      </c>
      <c r="Q24" s="11"/>
      <c r="R24" s="11"/>
      <c r="S24" s="11"/>
      <c r="T24" s="11"/>
      <c r="U24" s="11"/>
      <c r="V24" s="11"/>
      <c r="W24" s="11"/>
      <c r="X24" s="11"/>
      <c r="Y24" s="11"/>
      <c r="Z24" s="11"/>
      <c r="AA24" s="11"/>
      <c r="AB24" s="11"/>
    </row>
    <row r="25" ht="15.75" customHeight="1">
      <c r="A25" s="11" t="str">
        <f>IFERROR(__xludf.DUMMYFUNCTION("""COMPUTED_VALUE"""),"Rat, Dire")</f>
        <v>Rat, Dire</v>
      </c>
      <c r="B25" s="12" t="str">
        <f>IFERROR(__xludf.DUMMYFUNCTION("""COMPUTED_VALUE"""),"")</f>
        <v/>
      </c>
      <c r="C25" s="11" t="str">
        <f>IFERROR(__xludf.DUMMYFUNCTION("""COMPUTED_VALUE"""),"CR")</f>
        <v>CR</v>
      </c>
      <c r="D25" s="11" t="str">
        <f>IFERROR(__xludf.DUMMYFUNCTION("""COMPUTED_VALUE"""),"Child-sized, savage rats bristling with bony face and spine ridges.")</f>
        <v>Child-sized, savage rats bristling with bony face and spine ridges.</v>
      </c>
      <c r="E25" s="11">
        <f>IFERROR(__xludf.DUMMYFUNCTION("""COMPUTED_VALUE"""),12.0)</f>
        <v>12</v>
      </c>
      <c r="F25" s="11">
        <f>IFERROR(__xludf.DUMMYFUNCTION("""COMPUTED_VALUE"""),10.0)</f>
        <v>10</v>
      </c>
      <c r="G25" s="11" t="str">
        <f>IFERROR(__xludf.DUMMYFUNCTION("""COMPUTED_VALUE"""),"1 bite +2 (1d6 + disease)")</f>
        <v>1 bite +2 (1d6 + disease)</v>
      </c>
      <c r="H25" s="11" t="str">
        <f>IFERROR(__xludf.DUMMYFUNCTION("""COMPUTED_VALUE"""),"near")</f>
        <v>near</v>
      </c>
      <c r="I25" s="11">
        <f>IFERROR(__xludf.DUMMYFUNCTION("""COMPUTED_VALUE"""),1.0)</f>
        <v>1</v>
      </c>
      <c r="J25" s="11">
        <f>IFERROR(__xludf.DUMMYFUNCTION("""COMPUTED_VALUE"""),2.0)</f>
        <v>2</v>
      </c>
      <c r="K25" s="11">
        <f>IFERROR(__xludf.DUMMYFUNCTION("""COMPUTED_VALUE"""),1.0)</f>
        <v>1</v>
      </c>
      <c r="L25" s="11">
        <f>IFERROR(__xludf.DUMMYFUNCTION("""COMPUTED_VALUE"""),-2.0)</f>
        <v>-2</v>
      </c>
      <c r="M25" s="11">
        <f>IFERROR(__xludf.DUMMYFUNCTION("""COMPUTED_VALUE"""),1.0)</f>
        <v>1</v>
      </c>
      <c r="N25" s="11">
        <f>IFERROR(__xludf.DUMMYFUNCTION("""COMPUTED_VALUE"""),-2.0)</f>
        <v>-2</v>
      </c>
      <c r="O25" s="11" t="str">
        <f>IFERROR(__xludf.DUMMYFUNCTION("""COMPUTED_VALUE"""),"N")</f>
        <v>N</v>
      </c>
      <c r="P25" s="13">
        <f>IFERROR(__xludf.DUMMYFUNCTION("""COMPUTED_VALUE"""),2.0)</f>
        <v>2</v>
      </c>
      <c r="Q25" s="11" t="str">
        <f>IFERROR(__xludf.DUMMYFUNCTION("""COMPUTED_VALUE"""),"Disease. DC 12 CON or 1d4 CON damage (can't heal while ill). Repeat check once per day; ends on success. Die at 0 CON.")</f>
        <v>Disease. DC 12 CON or 1d4 CON damage (can't heal while ill). Repeat check once per day; ends on success. Die at 0 CON.</v>
      </c>
      <c r="R25" s="11"/>
      <c r="S25" s="11"/>
      <c r="T25" s="11"/>
      <c r="U25" s="11"/>
      <c r="V25" s="11"/>
      <c r="W25" s="11"/>
      <c r="X25" s="11"/>
      <c r="Y25" s="11"/>
      <c r="Z25" s="11"/>
      <c r="AA25" s="11"/>
      <c r="AB25" s="11"/>
    </row>
    <row r="26" ht="15.75" customHeight="1">
      <c r="A26" s="11" t="str">
        <f>IFERROR(__xludf.DUMMYFUNCTION("""COMPUTED_VALUE"""),"Rot Flower")</f>
        <v>Rot Flower</v>
      </c>
      <c r="B26" s="12" t="str">
        <f>IFERROR(__xludf.DUMMYFUNCTION("""COMPUTED_VALUE"""),"")</f>
        <v/>
      </c>
      <c r="C26" s="11" t="str">
        <f>IFERROR(__xludf.DUMMYFUNCTION("""COMPUTED_VALUE"""),"CR")</f>
        <v>CR</v>
      </c>
      <c r="D26" s="11" t="str">
        <f>IFERROR(__xludf.DUMMYFUNCTION("""COMPUTED_VALUE"""),"Carnivorous flowers as large as a human. They reek of carrion.")</f>
        <v>Carnivorous flowers as large as a human. They reek of carrion.</v>
      </c>
      <c r="E26" s="11">
        <f>IFERROR(__xludf.DUMMYFUNCTION("""COMPUTED_VALUE"""),9.0)</f>
        <v>9</v>
      </c>
      <c r="F26" s="11">
        <f>IFERROR(__xludf.DUMMYFUNCTION("""COMPUTED_VALUE"""),10.0)</f>
        <v>10</v>
      </c>
      <c r="G26" s="11" t="str">
        <f>IFERROR(__xludf.DUMMYFUNCTION("""COMPUTED_VALUE"""),"1 bite +1 (1d4 + toxin)")</f>
        <v>1 bite +1 (1d4 + toxin)</v>
      </c>
      <c r="H26" s="11" t="str">
        <f>IFERROR(__xludf.DUMMYFUNCTION("""COMPUTED_VALUE"""),"none")</f>
        <v>none</v>
      </c>
      <c r="I26" s="11">
        <f>IFERROR(__xludf.DUMMYFUNCTION("""COMPUTED_VALUE"""),1.0)</f>
        <v>1</v>
      </c>
      <c r="J26" s="11">
        <f>IFERROR(__xludf.DUMMYFUNCTION("""COMPUTED_VALUE"""),-3.0)</f>
        <v>-3</v>
      </c>
      <c r="K26" s="11">
        <f>IFERROR(__xludf.DUMMYFUNCTION("""COMPUTED_VALUE"""),1.0)</f>
        <v>1</v>
      </c>
      <c r="L26" s="11">
        <f>IFERROR(__xludf.DUMMYFUNCTION("""COMPUTED_VALUE"""),-4.0)</f>
        <v>-4</v>
      </c>
      <c r="M26" s="11">
        <f>IFERROR(__xludf.DUMMYFUNCTION("""COMPUTED_VALUE"""),-3.0)</f>
        <v>-3</v>
      </c>
      <c r="N26" s="11">
        <f>IFERROR(__xludf.DUMMYFUNCTION("""COMPUTED_VALUE"""),-4.0)</f>
        <v>-4</v>
      </c>
      <c r="O26" s="11" t="str">
        <f>IFERROR(__xludf.DUMMYFUNCTION("""COMPUTED_VALUE"""),"N")</f>
        <v>N</v>
      </c>
      <c r="P26" s="13">
        <f>IFERROR(__xludf.DUMMYFUNCTION("""COMPUTED_VALUE"""),2.0)</f>
        <v>2</v>
      </c>
      <c r="Q26" s="11" t="str">
        <f>IFERROR(__xludf.DUMMYFUNCTION("""COMPUTED_VALUE"""),"Toxin. DC 12 CON or unconscious for 1d4 rounds.")</f>
        <v>Toxin. DC 12 CON or unconscious for 1d4 rounds.</v>
      </c>
      <c r="R26" s="11"/>
      <c r="S26" s="11"/>
      <c r="T26" s="11"/>
      <c r="U26" s="11"/>
      <c r="V26" s="11"/>
      <c r="W26" s="11"/>
      <c r="X26" s="11"/>
      <c r="Y26" s="11"/>
      <c r="Z26" s="11"/>
      <c r="AA26" s="11"/>
      <c r="AB26" s="11"/>
    </row>
    <row r="27" ht="15.75" customHeight="1">
      <c r="A27" s="11" t="str">
        <f>IFERROR(__xludf.DUMMYFUNCTION("""COMPUTED_VALUE"""),"Sahuagin")</f>
        <v>Sahuagin</v>
      </c>
      <c r="B27" s="15">
        <f>IFERROR(__xludf.DUMMYFUNCTION("""COMPUTED_VALUE"""),0.5)</f>
        <v>0.5</v>
      </c>
      <c r="C27" s="11" t="str">
        <f>IFERROR(__xludf.DUMMYFUNCTION("""COMPUTED_VALUE"""),"CR")</f>
        <v>CR</v>
      </c>
      <c r="D27" s="11" t="str">
        <f>IFERROR(__xludf.DUMMYFUNCTION("""COMPUTED_VALUE"""),"Humanoids with sea-green skin, webbed limbs, and shark teeth. Vicious hunters.")</f>
        <v>Humanoids with sea-green skin, webbed limbs, and shark teeth. Vicious hunters.</v>
      </c>
      <c r="E27" s="11">
        <f>IFERROR(__xludf.DUMMYFUNCTION("""COMPUTED_VALUE"""),14.0)</f>
        <v>14</v>
      </c>
      <c r="F27" s="11">
        <f>IFERROR(__xludf.DUMMYFUNCTION("""COMPUTED_VALUE"""),9.0)</f>
        <v>9</v>
      </c>
      <c r="G27" s="14" t="str">
        <f>IFERROR(__xludf.DUMMYFUNCTION("""COMPUTED_VALUE"""),"2 trident (near) +1 (1d6)")</f>
        <v>2 trident (near) +1 (1d6)</v>
      </c>
      <c r="H27" s="11" t="str">
        <f>IFERROR(__xludf.DUMMYFUNCTION("""COMPUTED_VALUE"""),"near (swim)")</f>
        <v>near (swim)</v>
      </c>
      <c r="I27" s="11">
        <f>IFERROR(__xludf.DUMMYFUNCTION("""COMPUTED_VALUE"""),1.0)</f>
        <v>1</v>
      </c>
      <c r="J27" s="11">
        <f>IFERROR(__xludf.DUMMYFUNCTION("""COMPUTED_VALUE"""),1.0)</f>
        <v>1</v>
      </c>
      <c r="K27" s="11">
        <f>IFERROR(__xludf.DUMMYFUNCTION("""COMPUTED_VALUE"""),0.0)</f>
        <v>0</v>
      </c>
      <c r="L27" s="11">
        <f>IFERROR(__xludf.DUMMYFUNCTION("""COMPUTED_VALUE"""),-1.0)</f>
        <v>-1</v>
      </c>
      <c r="M27" s="11">
        <f>IFERROR(__xludf.DUMMYFUNCTION("""COMPUTED_VALUE"""),0.0)</f>
        <v>0</v>
      </c>
      <c r="N27" s="11">
        <f>IFERROR(__xludf.DUMMYFUNCTION("""COMPUTED_VALUE"""),-1.0)</f>
        <v>-1</v>
      </c>
      <c r="O27" s="11" t="str">
        <f>IFERROR(__xludf.DUMMYFUNCTION("""COMPUTED_VALUE"""),"C")</f>
        <v>C</v>
      </c>
      <c r="P27" s="13">
        <f>IFERROR(__xludf.DUMMYFUNCTION("""COMPUTED_VALUE"""),2.0)</f>
        <v>2</v>
      </c>
      <c r="Q27" s="11" t="str">
        <f>IFERROR(__xludf.DUMMYFUNCTION("""COMPUTED_VALUE"""),"Half-Amphibious. Must be submerged in water every 4 hours or suffocates.")</f>
        <v>Half-Amphibious. Must be submerged in water every 4 hours or suffocates.</v>
      </c>
      <c r="R27" s="11"/>
      <c r="S27" s="11"/>
      <c r="T27" s="11"/>
      <c r="U27" s="11"/>
      <c r="V27" s="11"/>
      <c r="W27" s="11"/>
      <c r="X27" s="11"/>
      <c r="Y27" s="11"/>
      <c r="Z27" s="11"/>
      <c r="AA27" s="11"/>
      <c r="AB27" s="11"/>
    </row>
    <row r="28" ht="15.75" customHeight="1">
      <c r="A28" s="11" t="str">
        <f>IFERROR(__xludf.DUMMYFUNCTION("""COMPUTED_VALUE"""),"Skeleton")</f>
        <v>Skeleton</v>
      </c>
      <c r="B28" s="12">
        <f>IFERROR(__xludf.DUMMYFUNCTION("""COMPUTED_VALUE"""),0.25)</f>
        <v>0.25</v>
      </c>
      <c r="C28" s="11" t="str">
        <f>IFERROR(__xludf.DUMMYFUNCTION("""COMPUTED_VALUE"""),"CR")</f>
        <v>CR</v>
      </c>
      <c r="D28" s="11" t="str">
        <f>IFERROR(__xludf.DUMMYFUNCTION("""COMPUTED_VALUE"""),"A bleach-boned skeleton with red pinpoints of light in its eyes.")</f>
        <v>A bleach-boned skeleton with red pinpoints of light in its eyes.</v>
      </c>
      <c r="E28" s="11" t="str">
        <f>IFERROR(__xludf.DUMMYFUNCTION("""COMPUTED_VALUE"""),"13 (chainmail)")</f>
        <v>13 (chainmail)</v>
      </c>
      <c r="F28" s="11" t="str">
        <f>IFERROR(__xludf.DUMMYFUNCTION("""COMPUTED_VALUE"""),"11")</f>
        <v>11</v>
      </c>
      <c r="G28" s="11" t="str">
        <f>IFERROR(__xludf.DUMMYFUNCTION("""COMPUTED_VALUE"""),"1 shortsword +1 (1d6) or 1 shortbow (far) +0 (1d4)")</f>
        <v>1 shortsword +1 (1d6) or 1 shortbow (far) +0 (1d4)</v>
      </c>
      <c r="H28" s="11" t="str">
        <f>IFERROR(__xludf.DUMMYFUNCTION("""COMPUTED_VALUE"""),"near")</f>
        <v>near</v>
      </c>
      <c r="I28" s="11" t="str">
        <f>IFERROR(__xludf.DUMMYFUNCTION("""COMPUTED_VALUE"""),"1")</f>
        <v>1</v>
      </c>
      <c r="J28" s="11" t="str">
        <f>IFERROR(__xludf.DUMMYFUNCTION("""COMPUTED_VALUE"""),"0")</f>
        <v>0</v>
      </c>
      <c r="K28" s="11" t="str">
        <f>IFERROR(__xludf.DUMMYFUNCTION("""COMPUTED_VALUE"""),"2")</f>
        <v>2</v>
      </c>
      <c r="L28" s="11" t="str">
        <f>IFERROR(__xludf.DUMMYFUNCTION("""COMPUTED_VALUE"""),"-2")</f>
        <v>-2</v>
      </c>
      <c r="M28" s="11" t="str">
        <f>IFERROR(__xludf.DUMMYFUNCTION("""COMPUTED_VALUE"""),"0")</f>
        <v>0</v>
      </c>
      <c r="N28" s="11" t="str">
        <f>IFERROR(__xludf.DUMMYFUNCTION("""COMPUTED_VALUE"""),"-1")</f>
        <v>-1</v>
      </c>
      <c r="O28" s="11" t="str">
        <f>IFERROR(__xludf.DUMMYFUNCTION("""COMPUTED_VALUE"""),"C")</f>
        <v>C</v>
      </c>
      <c r="P28" s="13">
        <f>IFERROR(__xludf.DUMMYFUNCTION("""COMPUTED_VALUE"""),2.0)</f>
        <v>2</v>
      </c>
      <c r="Q28" s="11" t="str">
        <f>IFERROR(__xludf.DUMMYFUNCTION("""COMPUTED_VALUE"""),"Undead. Immune to morale checks.")</f>
        <v>Undead. Immune to morale checks.</v>
      </c>
      <c r="R28" s="11"/>
      <c r="S28" s="11"/>
      <c r="T28" s="11"/>
      <c r="U28" s="11"/>
      <c r="V28" s="11"/>
      <c r="W28" s="11"/>
      <c r="X28" s="11"/>
      <c r="Y28" s="11"/>
      <c r="Z28" s="11"/>
      <c r="AA28" s="11"/>
      <c r="AB28" s="11"/>
    </row>
    <row r="29" ht="15.75" customHeight="1">
      <c r="A29" s="11" t="str">
        <f>IFERROR(__xludf.DUMMYFUNCTION("""COMPUTED_VALUE"""),"Soldier")</f>
        <v>Soldier</v>
      </c>
      <c r="B29" s="12">
        <f>IFERROR(__xludf.DUMMYFUNCTION("""COMPUTED_VALUE"""),0.5)</f>
        <v>0.5</v>
      </c>
      <c r="C29" s="11" t="str">
        <f>IFERROR(__xludf.DUMMYFUNCTION("""COMPUTED_VALUE"""),"CR")</f>
        <v>CR</v>
      </c>
      <c r="D29" s="16" t="str">
        <f>IFERROR(__xludf.DUMMYFUNCTION("""COMPUTED_VALUE"""),"An armed footsoldier trained in the ways of battlefield combat.")</f>
        <v>An armed footsoldier trained in the ways of battlefield combat.</v>
      </c>
      <c r="E29" s="11" t="str">
        <f>IFERROR(__xludf.DUMMYFUNCTION("""COMPUTED_VALUE"""),"15 (chainmail + shield)")</f>
        <v>15 (chainmail + shield)</v>
      </c>
      <c r="F29" s="11">
        <f>IFERROR(__xludf.DUMMYFUNCTION("""COMPUTED_VALUE"""),10.0)</f>
        <v>10</v>
      </c>
      <c r="G29" s="11" t="str">
        <f>IFERROR(__xludf.DUMMYFUNCTION("""COMPUTED_VALUE"""),"1 longsword +2 (1d8) or 1 crossbow (far) +1 (1d6)")</f>
        <v>1 longsword +2 (1d8) or 1 crossbow (far) +1 (1d6)</v>
      </c>
      <c r="H29" s="11" t="str">
        <f>IFERROR(__xludf.DUMMYFUNCTION("""COMPUTED_VALUE"""),"near")</f>
        <v>near</v>
      </c>
      <c r="I29" s="11">
        <f>IFERROR(__xludf.DUMMYFUNCTION("""COMPUTED_VALUE"""),1.0)</f>
        <v>1</v>
      </c>
      <c r="J29" s="11">
        <f>IFERROR(__xludf.DUMMYFUNCTION("""COMPUTED_VALUE"""),0.0)</f>
        <v>0</v>
      </c>
      <c r="K29" s="11">
        <f>IFERROR(__xludf.DUMMYFUNCTION("""COMPUTED_VALUE"""),1.0)</f>
        <v>1</v>
      </c>
      <c r="L29" s="11">
        <f>IFERROR(__xludf.DUMMYFUNCTION("""COMPUTED_VALUE"""),0.0)</f>
        <v>0</v>
      </c>
      <c r="M29" s="11">
        <f>IFERROR(__xludf.DUMMYFUNCTION("""COMPUTED_VALUE"""),0.0)</f>
        <v>0</v>
      </c>
      <c r="N29" s="11">
        <f>IFERROR(__xludf.DUMMYFUNCTION("""COMPUTED_VALUE"""),0.0)</f>
        <v>0</v>
      </c>
      <c r="O29" s="11" t="str">
        <f>IFERROR(__xludf.DUMMYFUNCTION("""COMPUTED_VALUE"""),"L")</f>
        <v>L</v>
      </c>
      <c r="P29" s="13">
        <f>IFERROR(__xludf.DUMMYFUNCTION("""COMPUTED_VALUE"""),2.0)</f>
        <v>2</v>
      </c>
      <c r="Q29" s="11"/>
      <c r="R29" s="11"/>
      <c r="S29" s="11"/>
      <c r="T29" s="11"/>
      <c r="U29" s="11"/>
      <c r="V29" s="11"/>
      <c r="W29" s="11"/>
      <c r="X29" s="11"/>
      <c r="Y29" s="11"/>
      <c r="Z29" s="11"/>
      <c r="AA29" s="11"/>
      <c r="AB29" s="11"/>
    </row>
    <row r="30" ht="15.75" customHeight="1">
      <c r="A30" s="11" t="str">
        <f>IFERROR(__xludf.DUMMYFUNCTION("""COMPUTED_VALUE"""),"Spider, Swarm")</f>
        <v>Spider, Swarm</v>
      </c>
      <c r="B30" s="12" t="str">
        <f>IFERROR(__xludf.DUMMYFUNCTION("""COMPUTED_VALUE"""),"")</f>
        <v/>
      </c>
      <c r="C30" s="11" t="str">
        <f>IFERROR(__xludf.DUMMYFUNCTION("""COMPUTED_VALUE"""),"CR")</f>
        <v>CR</v>
      </c>
      <c r="D30" s="17" t="str">
        <f>IFERROR(__xludf.DUMMYFUNCTION("""COMPUTED_VALUE"""),"A scurrying carpet of spiders.")</f>
        <v>A scurrying carpet of spiders.</v>
      </c>
      <c r="E30" s="11">
        <f>IFERROR(__xludf.DUMMYFUNCTION("""COMPUTED_VALUE"""),13.0)</f>
        <v>13</v>
      </c>
      <c r="F30" s="11">
        <f>IFERROR(__xludf.DUMMYFUNCTION("""COMPUTED_VALUE"""),9.0)</f>
        <v>9</v>
      </c>
      <c r="G30" s="11" t="str">
        <f>IFERROR(__xludf.DUMMYFUNCTION("""COMPUTED_VALUE"""),"1 bite +3 (1d4 + poison)")</f>
        <v>1 bite +3 (1d4 + poison)</v>
      </c>
      <c r="H30" s="11" t="str">
        <f>IFERROR(__xludf.DUMMYFUNCTION("""COMPUTED_VALUE"""),"near (climb)")</f>
        <v>near (climb)</v>
      </c>
      <c r="I30" s="11">
        <f>IFERROR(__xludf.DUMMYFUNCTION("""COMPUTED_VALUE"""),-1.0)</f>
        <v>-1</v>
      </c>
      <c r="J30" s="11">
        <f>IFERROR(__xludf.DUMMYFUNCTION("""COMPUTED_VALUE"""),3.0)</f>
        <v>3</v>
      </c>
      <c r="K30" s="11">
        <f>IFERROR(__xludf.DUMMYFUNCTION("""COMPUTED_VALUE"""),0.0)</f>
        <v>0</v>
      </c>
      <c r="L30" s="11">
        <f>IFERROR(__xludf.DUMMYFUNCTION("""COMPUTED_VALUE"""),-3.0)</f>
        <v>-3</v>
      </c>
      <c r="M30" s="11">
        <f>IFERROR(__xludf.DUMMYFUNCTION("""COMPUTED_VALUE"""),1.0)</f>
        <v>1</v>
      </c>
      <c r="N30" s="11">
        <f>IFERROR(__xludf.DUMMYFUNCTION("""COMPUTED_VALUE"""),-3.0)</f>
        <v>-3</v>
      </c>
      <c r="O30" s="11" t="str">
        <f>IFERROR(__xludf.DUMMYFUNCTION("""COMPUTED_VALUE"""),"N")</f>
        <v>N</v>
      </c>
      <c r="P30" s="13">
        <f>IFERROR(__xludf.DUMMYFUNCTION("""COMPUTED_VALUE"""),2.0)</f>
        <v>2</v>
      </c>
      <c r="Q30" s="11" t="str">
        <f>IFERROR(__xludf.DUMMYFUNCTION("""COMPUTED_VALUE"""),"Poison. DC 12 CON or paralyzed 1d4 rounds.")</f>
        <v>Poison. DC 12 CON or paralyzed 1d4 rounds.</v>
      </c>
      <c r="R30" s="11"/>
      <c r="S30" s="11"/>
      <c r="T30" s="11"/>
      <c r="U30" s="11"/>
      <c r="V30" s="11"/>
      <c r="W30" s="11"/>
      <c r="X30" s="11"/>
      <c r="Y30" s="11"/>
      <c r="Z30" s="11"/>
      <c r="AA30" s="11"/>
      <c r="AB30" s="11"/>
    </row>
    <row r="31" ht="15.75" customHeight="1">
      <c r="A31" s="11" t="str">
        <f>IFERROR(__xludf.DUMMYFUNCTION("""COMPUTED_VALUE"""),"Violet Fungus")</f>
        <v>Violet Fungus</v>
      </c>
      <c r="B31" s="12">
        <f>IFERROR(__xludf.DUMMYFUNCTION("""COMPUTED_VALUE"""),0.25)</f>
        <v>0.25</v>
      </c>
      <c r="C31" s="11" t="str">
        <f>IFERROR(__xludf.DUMMYFUNCTION("""COMPUTED_VALUE"""),"CR")</f>
        <v>CR</v>
      </c>
      <c r="D31" s="18" t="str">
        <f>IFERROR(__xludf.DUMMYFUNCTION("""COMPUTED_VALUE"""),"Child-sized, creeping fungi with neon purple caps. Their whiplike roots decompose living flesh.")</f>
        <v>Child-sized, creeping fungi with neon purple caps. Their whiplike roots decompose living flesh.</v>
      </c>
      <c r="E31" s="11">
        <f>IFERROR(__xludf.DUMMYFUNCTION("""COMPUTED_VALUE"""),7.0)</f>
        <v>7</v>
      </c>
      <c r="F31" s="11">
        <f>IFERROR(__xludf.DUMMYFUNCTION("""COMPUTED_VALUE"""),9.0)</f>
        <v>9</v>
      </c>
      <c r="G31" s="11" t="str">
        <f>IFERROR(__xludf.DUMMYFUNCTION("""COMPUTED_VALUE"""),"2 tendril (near) +0 (1d4)")</f>
        <v>2 tendril (near) +0 (1d4)</v>
      </c>
      <c r="H31" s="11" t="str">
        <f>IFERROR(__xludf.DUMMYFUNCTION("""COMPUTED_VALUE"""),"close")</f>
        <v>close</v>
      </c>
      <c r="I31" s="11">
        <f>IFERROR(__xludf.DUMMYFUNCTION("""COMPUTED_VALUE"""),-3.0)</f>
        <v>-3</v>
      </c>
      <c r="J31" s="11">
        <f>IFERROR(__xludf.DUMMYFUNCTION("""COMPUTED_VALUE"""),-2.0)</f>
        <v>-2</v>
      </c>
      <c r="K31" s="11">
        <f>IFERROR(__xludf.DUMMYFUNCTION("""COMPUTED_VALUE"""),0.0)</f>
        <v>0</v>
      </c>
      <c r="L31" s="11">
        <f>IFERROR(__xludf.DUMMYFUNCTION("""COMPUTED_VALUE"""),-4.0)</f>
        <v>-4</v>
      </c>
      <c r="M31" s="11">
        <f>IFERROR(__xludf.DUMMYFUNCTION("""COMPUTED_VALUE"""),-3.0)</f>
        <v>-3</v>
      </c>
      <c r="N31" s="11">
        <f>IFERROR(__xludf.DUMMYFUNCTION("""COMPUTED_VALUE"""),-4.0)</f>
        <v>-4</v>
      </c>
      <c r="O31" s="11" t="str">
        <f>IFERROR(__xludf.DUMMYFUNCTION("""COMPUTED_VALUE"""),"N")</f>
        <v>N</v>
      </c>
      <c r="P31" s="13">
        <f>IFERROR(__xludf.DUMMYFUNCTION("""COMPUTED_VALUE"""),2.0)</f>
        <v>2</v>
      </c>
      <c r="Q31" s="11"/>
      <c r="R31" s="11"/>
      <c r="S31" s="11"/>
      <c r="T31" s="11"/>
      <c r="U31" s="11"/>
      <c r="V31" s="11"/>
      <c r="W31" s="11"/>
      <c r="X31" s="11"/>
      <c r="Y31" s="11"/>
      <c r="Z31" s="11"/>
      <c r="AA31" s="11"/>
      <c r="AB31" s="11"/>
    </row>
    <row r="32" ht="15.75" customHeight="1">
      <c r="A32" s="11" t="str">
        <f>IFERROR(__xludf.DUMMYFUNCTION("""COMPUTED_VALUE"""),"Wasp, Giant")</f>
        <v>Wasp, Giant</v>
      </c>
      <c r="B32" s="12" t="str">
        <f>IFERROR(__xludf.DUMMYFUNCTION("""COMPUTED_VALUE"""),"")</f>
        <v/>
      </c>
      <c r="C32" s="11" t="str">
        <f>IFERROR(__xludf.DUMMYFUNCTION("""COMPUTED_VALUE"""),"CR")</f>
        <v>CR</v>
      </c>
      <c r="D32" s="19" t="str">
        <f>IFERROR(__xludf.DUMMYFUNCTION("""COMPUTED_VALUE"""),"Man-sized wasps with glossy, yellow-striped abdomens.")</f>
        <v>Man-sized wasps with glossy, yellow-striped abdomens.</v>
      </c>
      <c r="E32" s="11">
        <f>IFERROR(__xludf.DUMMYFUNCTION("""COMPUTED_VALUE"""),13.0)</f>
        <v>13</v>
      </c>
      <c r="F32" s="11">
        <f>IFERROR(__xludf.DUMMYFUNCTION("""COMPUTED_VALUE"""),9.0)</f>
        <v>9</v>
      </c>
      <c r="G32" s="11" t="str">
        <f>IFERROR(__xludf.DUMMYFUNCTION("""COMPUTED_VALUE"""),"1 sting +3 (1d6+venom)")</f>
        <v>1 sting +3 (1d6+venom)</v>
      </c>
      <c r="H32" s="11" t="str">
        <f>IFERROR(__xludf.DUMMYFUNCTION("""COMPUTED_VALUE"""),"near (fly)")</f>
        <v>near (fly)</v>
      </c>
      <c r="I32" s="11">
        <f>IFERROR(__xludf.DUMMYFUNCTION("""COMPUTED_VALUE"""),1.0)</f>
        <v>1</v>
      </c>
      <c r="J32" s="11">
        <f>IFERROR(__xludf.DUMMYFUNCTION("""COMPUTED_VALUE"""),3.0)</f>
        <v>3</v>
      </c>
      <c r="K32" s="11">
        <f>IFERROR(__xludf.DUMMYFUNCTION("""COMPUTED_VALUE"""),0.0)</f>
        <v>0</v>
      </c>
      <c r="L32" s="11">
        <f>IFERROR(__xludf.DUMMYFUNCTION("""COMPUTED_VALUE"""),-3.0)</f>
        <v>-3</v>
      </c>
      <c r="M32" s="11">
        <f>IFERROR(__xludf.DUMMYFUNCTION("""COMPUTED_VALUE"""),0.0)</f>
        <v>0</v>
      </c>
      <c r="N32" s="11">
        <f>IFERROR(__xludf.DUMMYFUNCTION("""COMPUTED_VALUE"""),-3.0)</f>
        <v>-3</v>
      </c>
      <c r="O32" s="11" t="str">
        <f>IFERROR(__xludf.DUMMYFUNCTION("""COMPUTED_VALUE"""),"N")</f>
        <v>N</v>
      </c>
      <c r="P32" s="13">
        <f>IFERROR(__xludf.DUMMYFUNCTION("""COMPUTED_VALUE"""),2.0)</f>
        <v>2</v>
      </c>
      <c r="Q32" s="11" t="str">
        <f>IFERROR(__xludf.DUMMYFUNCTION("""COMPUTED_VALUE"""),"Venom. DC 9 CON or go to 0 HP.")</f>
        <v>Venom. DC 9 CON or go to 0 HP.</v>
      </c>
      <c r="R32" s="11"/>
      <c r="S32" s="11"/>
      <c r="T32" s="11"/>
      <c r="U32" s="11"/>
      <c r="V32" s="11"/>
      <c r="W32" s="11"/>
      <c r="X32" s="11"/>
      <c r="Y32" s="11"/>
      <c r="Z32" s="11"/>
      <c r="AA32" s="11"/>
      <c r="AB32" s="11"/>
    </row>
    <row r="33" ht="15.75" customHeight="1">
      <c r="A33" s="11" t="str">
        <f>IFERROR(__xludf.DUMMYFUNCTION("""COMPUTED_VALUE"""),"Will-O'-Wisp")</f>
        <v>Will-O'-Wisp</v>
      </c>
      <c r="B33" s="12">
        <f>IFERROR(__xludf.DUMMYFUNCTION("""COMPUTED_VALUE"""),2.0)</f>
        <v>2</v>
      </c>
      <c r="C33" s="11" t="str">
        <f>IFERROR(__xludf.DUMMYFUNCTION("""COMPUTED_VALUE"""),"CR")</f>
        <v>CR</v>
      </c>
      <c r="D33" s="18" t="str">
        <f>IFERROR(__xludf.DUMMYFUNCTION("""COMPUTED_VALUE"""),"A bobbing marsh light animated by an evil spirit. It tries to lead the living into danger.")</f>
        <v>A bobbing marsh light animated by an evil spirit. It tries to lead the living into danger.</v>
      </c>
      <c r="E33" s="11">
        <f>IFERROR(__xludf.DUMMYFUNCTION("""COMPUTED_VALUE"""),13.0)</f>
        <v>13</v>
      </c>
      <c r="F33" s="11">
        <f>IFERROR(__xludf.DUMMYFUNCTION("""COMPUTED_VALUE"""),10.0)</f>
        <v>10</v>
      </c>
      <c r="G33" s="11" t="str">
        <f>IFERROR(__xludf.DUMMYFUNCTION("""COMPUTED_VALUE"""),"1 life drain +3")</f>
        <v>1 life drain +3</v>
      </c>
      <c r="H33" s="11" t="str">
        <f>IFERROR(__xludf.DUMMYFUNCTION("""COMPUTED_VALUE"""),"near (fly)")</f>
        <v>near (fly)</v>
      </c>
      <c r="I33" s="11">
        <f>IFERROR(__xludf.DUMMYFUNCTION("""COMPUTED_VALUE"""),-3.0)</f>
        <v>-3</v>
      </c>
      <c r="J33" s="11">
        <f>IFERROR(__xludf.DUMMYFUNCTION("""COMPUTED_VALUE"""),3.0)</f>
        <v>3</v>
      </c>
      <c r="K33" s="11">
        <f>IFERROR(__xludf.DUMMYFUNCTION("""COMPUTED_VALUE"""),1.0)</f>
        <v>1</v>
      </c>
      <c r="L33" s="11">
        <f>IFERROR(__xludf.DUMMYFUNCTION("""COMPUTED_VALUE"""),-1.0)</f>
        <v>-1</v>
      </c>
      <c r="M33" s="11">
        <f>IFERROR(__xludf.DUMMYFUNCTION("""COMPUTED_VALUE"""),-1.0)</f>
        <v>-1</v>
      </c>
      <c r="N33" s="11">
        <f>IFERROR(__xludf.DUMMYFUNCTION("""COMPUTED_VALUE"""),-2.0)</f>
        <v>-2</v>
      </c>
      <c r="O33" s="11" t="str">
        <f>IFERROR(__xludf.DUMMYFUNCTION("""COMPUTED_VALUE"""),"C")</f>
        <v>C</v>
      </c>
      <c r="P33" s="13">
        <f>IFERROR(__xludf.DUMMYFUNCTION("""COMPUTED_VALUE"""),2.0)</f>
        <v>2</v>
      </c>
      <c r="Q33" s="11" t="str">
        <f>IFERROR(__xludf.DUMMYFUNCTION("""COMPUTED_VALUE"""),"Life Drain. 1d4 CON damage. Death if reduced to 0 CON.")</f>
        <v>Life Drain. 1d4 CON damage. Death if reduced to 0 CON.</v>
      </c>
      <c r="R33" s="11"/>
      <c r="S33" s="11"/>
      <c r="T33" s="11"/>
      <c r="U33" s="11"/>
      <c r="V33" s="11"/>
      <c r="W33" s="11"/>
      <c r="X33" s="11"/>
      <c r="Y33" s="11"/>
      <c r="Z33" s="11"/>
      <c r="AA33" s="11"/>
      <c r="AB33" s="11"/>
    </row>
    <row r="34" ht="15.75" customHeight="1">
      <c r="A34" s="11" t="str">
        <f>IFERROR(__xludf.DUMMYFUNCTION("""COMPUTED_VALUE"""),"Wolf")</f>
        <v>Wolf</v>
      </c>
      <c r="B34" s="12">
        <f>IFERROR(__xludf.DUMMYFUNCTION("""COMPUTED_VALUE"""),0.25)</f>
        <v>0.25</v>
      </c>
      <c r="C34" s="11" t="str">
        <f>IFERROR(__xludf.DUMMYFUNCTION("""COMPUTED_VALUE"""),"CR")</f>
        <v>CR</v>
      </c>
      <c r="D34" s="11" t="str">
        <f>IFERROR(__xludf.DUMMYFUNCTION("""COMPUTED_VALUE"""),"A giant canine with a gray pelt, yellow eyes, and dripping jaws.")</f>
        <v>A giant canine with a gray pelt, yellow eyes, and dripping jaws.</v>
      </c>
      <c r="E34" s="11">
        <f>IFERROR(__xludf.DUMMYFUNCTION("""COMPUTED_VALUE"""),12.0)</f>
        <v>12</v>
      </c>
      <c r="F34" s="11">
        <f>IFERROR(__xludf.DUMMYFUNCTION("""COMPUTED_VALUE"""),10.0)</f>
        <v>10</v>
      </c>
      <c r="G34" s="11" t="str">
        <f>IFERROR(__xludf.DUMMYFUNCTION("""COMPUTED_VALUE"""),"1 bite +2 (1d6)")</f>
        <v>1 bite +2 (1d6)</v>
      </c>
      <c r="H34" s="11" t="str">
        <f>IFERROR(__xludf.DUMMYFUNCTION("""COMPUTED_VALUE"""),"double near")</f>
        <v>double near</v>
      </c>
      <c r="I34" s="11">
        <f>IFERROR(__xludf.DUMMYFUNCTION("""COMPUTED_VALUE"""),2.0)</f>
        <v>2</v>
      </c>
      <c r="J34" s="11">
        <f>IFERROR(__xludf.DUMMYFUNCTION("""COMPUTED_VALUE"""),2.0)</f>
        <v>2</v>
      </c>
      <c r="K34" s="11">
        <f>IFERROR(__xludf.DUMMYFUNCTION("""COMPUTED_VALUE"""),1.0)</f>
        <v>1</v>
      </c>
      <c r="L34" s="11">
        <f>IFERROR(__xludf.DUMMYFUNCTION("""COMPUTED_VALUE"""),-2.0)</f>
        <v>-2</v>
      </c>
      <c r="M34" s="11">
        <f>IFERROR(__xludf.DUMMYFUNCTION("""COMPUTED_VALUE"""),1.0)</f>
        <v>1</v>
      </c>
      <c r="N34" s="11">
        <f>IFERROR(__xludf.DUMMYFUNCTION("""COMPUTED_VALUE"""),0.0)</f>
        <v>0</v>
      </c>
      <c r="O34" s="11" t="str">
        <f>IFERROR(__xludf.DUMMYFUNCTION("""COMPUTED_VALUE"""),"N")</f>
        <v>N</v>
      </c>
      <c r="P34" s="13">
        <f>IFERROR(__xludf.DUMMYFUNCTION("""COMPUTED_VALUE"""),2.0)</f>
        <v>2</v>
      </c>
      <c r="Q34" s="11" t="str">
        <f>IFERROR(__xludf.DUMMYFUNCTION("""COMPUTED_VALUE"""),"Pack Hunter. Deals +1 damage while an ally is close.")</f>
        <v>Pack Hunter. Deals +1 damage while an ally is close.</v>
      </c>
      <c r="R34" s="11"/>
      <c r="S34" s="11"/>
      <c r="T34" s="11"/>
      <c r="U34" s="11"/>
      <c r="V34" s="11"/>
      <c r="W34" s="11"/>
      <c r="X34" s="11"/>
      <c r="Y34" s="11"/>
      <c r="Z34" s="11"/>
      <c r="AA34" s="11"/>
      <c r="AB34" s="11"/>
    </row>
    <row r="35" ht="15.75" customHeight="1">
      <c r="A35" s="11" t="str">
        <f>IFERROR(__xludf.DUMMYFUNCTION("""COMPUTED_VALUE"""),"Zombie")</f>
        <v>Zombie</v>
      </c>
      <c r="B35" s="12">
        <f>IFERROR(__xludf.DUMMYFUNCTION("""COMPUTED_VALUE"""),0.25)</f>
        <v>0.25</v>
      </c>
      <c r="C35" s="11" t="str">
        <f>IFERROR(__xludf.DUMMYFUNCTION("""COMPUTED_VALUE"""),"CR")</f>
        <v>CR</v>
      </c>
      <c r="D35" s="11" t="str">
        <f>IFERROR(__xludf.DUMMYFUNCTION("""COMPUTED_VALUE"""),"Lurching and decomposed undead that hunt in mobs.")</f>
        <v>Lurching and decomposed undead that hunt in mobs.</v>
      </c>
      <c r="E35" s="11">
        <f>IFERROR(__xludf.DUMMYFUNCTION("""COMPUTED_VALUE"""),8.0)</f>
        <v>8</v>
      </c>
      <c r="F35" s="11">
        <f>IFERROR(__xludf.DUMMYFUNCTION("""COMPUTED_VALUE"""),11.0)</f>
        <v>11</v>
      </c>
      <c r="G35" s="11" t="str">
        <f>IFERROR(__xludf.DUMMYFUNCTION("""COMPUTED_VALUE"""),"1 slam +2 (1d6)")</f>
        <v>1 slam +2 (1d6)</v>
      </c>
      <c r="H35" s="11" t="str">
        <f>IFERROR(__xludf.DUMMYFUNCTION("""COMPUTED_VALUE"""),"near")</f>
        <v>near</v>
      </c>
      <c r="I35" s="11">
        <f>IFERROR(__xludf.DUMMYFUNCTION("""COMPUTED_VALUE"""),2.0)</f>
        <v>2</v>
      </c>
      <c r="J35" s="11">
        <f>IFERROR(__xludf.DUMMYFUNCTION("""COMPUTED_VALUE"""),-2.0)</f>
        <v>-2</v>
      </c>
      <c r="K35" s="11">
        <f>IFERROR(__xludf.DUMMYFUNCTION("""COMPUTED_VALUE"""),2.0)</f>
        <v>2</v>
      </c>
      <c r="L35" s="11">
        <f>IFERROR(__xludf.DUMMYFUNCTION("""COMPUTED_VALUE"""),-2.0)</f>
        <v>-2</v>
      </c>
      <c r="M35" s="11">
        <f>IFERROR(__xludf.DUMMYFUNCTION("""COMPUTED_VALUE"""),-2.0)</f>
        <v>-2</v>
      </c>
      <c r="N35" s="11">
        <f>IFERROR(__xludf.DUMMYFUNCTION("""COMPUTED_VALUE"""),-3.0)</f>
        <v>-3</v>
      </c>
      <c r="O35" s="11" t="str">
        <f>IFERROR(__xludf.DUMMYFUNCTION("""COMPUTED_VALUE"""),"C")</f>
        <v>C</v>
      </c>
      <c r="P35" s="13">
        <f>IFERROR(__xludf.DUMMYFUNCTION("""COMPUTED_VALUE"""),2.0)</f>
        <v>2</v>
      </c>
      <c r="Q35" s="11" t="str">
        <f>IFERROR(__xludf.DUMMYFUNCTION("""COMPUTED_VALUE"""),"Undead. Immune to morale checks.")</f>
        <v>Undead. Immune to morale checks.</v>
      </c>
      <c r="R35" s="11" t="str">
        <f>IFERROR(__xludf.DUMMYFUNCTION("""COMPUTED_VALUE"""),"Relentless. If zombie reduced to 0 HP by a non-magical source, DC 15 CON to go to 1 HP instead.")</f>
        <v>Relentless. If zombie reduced to 0 HP by a non-magical source, DC 15 CON to go to 1 HP instead.</v>
      </c>
      <c r="S35" s="11"/>
      <c r="T35" s="11"/>
      <c r="U35" s="11"/>
      <c r="V35" s="11"/>
      <c r="W35" s="11"/>
      <c r="X35" s="11"/>
      <c r="Y35" s="11"/>
      <c r="Z35" s="11"/>
      <c r="AA35" s="11"/>
      <c r="AB35" s="11"/>
    </row>
  </sheetData>
  <customSheetViews>
    <customSheetView guid="{51DCF084-7C01-403C-9896-1E7742DCA6B3}" filter="1" showAutoFilter="1">
      <autoFilter ref="$A$1:$AB$35"/>
    </customSheetView>
    <customSheetView guid="{7904D927-A127-473C-8B57-4EE1C7E3FAE9}" filter="1" showAutoFilter="1">
      <autoFilter ref="$A$1:$AB$35">
        <filterColumn colId="2">
          <filters/>
        </filterColumn>
      </autoFilter>
    </customSheetView>
    <customSheetView guid="{7B4FF760-C879-4C05-8F10-45D59B7E7C3E}" filter="1" showAutoFilter="1">
      <autoFilter ref="$A$1:$AB$35">
        <filterColumn colId="2">
          <filters/>
        </filterColumn>
      </autoFilter>
    </customSheetView>
    <customSheetView guid="{4FEF9F0C-4236-4853-B093-88FE2289FD26}" filter="1" showAutoFilter="1">
      <autoFilter ref="$A$1:$AB$35">
        <filterColumn colId="2">
          <filters>
            <filter val="CR"/>
          </filters>
        </filterColumn>
      </autoFilter>
    </customSheetView>
    <customSheetView guid="{5CDEC3B1-201F-4BAD-941F-A80E62A04015}" filter="1" showAutoFilter="1">
      <autoFilter ref="$A$1:$AB$35">
        <filterColumn colId="2">
          <filters/>
        </filterColumn>
      </autoFilter>
    </customSheetView>
    <customSheetView guid="{6B2E9E35-D6A1-4749-95F2-2658A691119A}" filter="1" showAutoFilter="1">
      <autoFilter ref="$A$1:$AB$35">
        <filterColumn colId="2">
          <filters/>
        </filterColumn>
      </autoFilter>
    </customSheetView>
  </customSheetView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IFERROR(__xludf.DUMMYFUNCTION("FILTER(All!A5:Z34, All!P5:P34 = 3)
"),"Angel, Seraph")</f>
        <v>Angel, Seraph</v>
      </c>
      <c r="B2" s="12">
        <f>IFERROR(__xludf.DUMMYFUNCTION("""COMPUTED_VALUE"""),10.0)</f>
        <v>10</v>
      </c>
      <c r="C2" s="11" t="str">
        <f>IFERROR(__xludf.DUMMYFUNCTION("""COMPUTED_VALUE"""),"CR")</f>
        <v>CR</v>
      </c>
      <c r="D2" s="11" t="str">
        <f>IFERROR(__xludf.DUMMYFUNCTION("""COMPUTED_VALUE"""),"Beautiful, luminous humanoids with white-feathered wings.")</f>
        <v>Beautiful, luminous humanoids with white-feathered wings.</v>
      </c>
      <c r="E2" s="11" t="str">
        <f>IFERROR(__xludf.DUMMYFUNCTION("""COMPUTED_VALUE"""),"14 (chainmail)")</f>
        <v>14 (chainmail)</v>
      </c>
      <c r="F2" s="11">
        <f>IFERROR(__xludf.DUMMYFUNCTION("""COMPUTED_VALUE"""),14.0)</f>
        <v>14</v>
      </c>
      <c r="G2" s="11" t="str">
        <f>IFERROR(__xludf.DUMMYFUNCTION("""COMPUTED_VALUE"""),"2 longsword +3 (1d8)")</f>
        <v>2 longsword +3 (1d8)</v>
      </c>
      <c r="H2" s="11" t="str">
        <f>IFERROR(__xludf.DUMMYFUNCTION("""COMPUTED_VALUE"""),"near (fly)")</f>
        <v>near (fly)</v>
      </c>
      <c r="I2" s="11">
        <f>IFERROR(__xludf.DUMMYFUNCTION("""COMPUTED_VALUE"""),3.0)</f>
        <v>3</v>
      </c>
      <c r="J2" s="11">
        <f>IFERROR(__xludf.DUMMYFUNCTION("""COMPUTED_VALUE"""),1.0)</f>
        <v>1</v>
      </c>
      <c r="K2" s="11">
        <f>IFERROR(__xludf.DUMMYFUNCTION("""COMPUTED_VALUE"""),1.0)</f>
        <v>1</v>
      </c>
      <c r="L2" s="11">
        <f>IFERROR(__xludf.DUMMYFUNCTION("""COMPUTED_VALUE"""),2.0)</f>
        <v>2</v>
      </c>
      <c r="M2" s="11">
        <f>IFERROR(__xludf.DUMMYFUNCTION("""COMPUTED_VALUE"""),3.0)</f>
        <v>3</v>
      </c>
      <c r="N2" s="11">
        <f>IFERROR(__xludf.DUMMYFUNCTION("""COMPUTED_VALUE"""),3.0)</f>
        <v>3</v>
      </c>
      <c r="O2" s="11" t="str">
        <f>IFERROR(__xludf.DUMMYFUNCTION("""COMPUTED_VALUE"""),"L")</f>
        <v>L</v>
      </c>
      <c r="P2" s="13">
        <f>IFERROR(__xludf.DUMMYFUNCTION("""COMPUTED_VALUE"""),3.0)</f>
        <v>3</v>
      </c>
      <c r="Q2" s="11" t="str">
        <f>IFERROR(__xludf.DUMMYFUNCTION("""COMPUTED_VALUE"""),"Bless: 3/day, touch one target to give it a luck token.")</f>
        <v>Bless: 3/day, touch one target to give it a luck token.</v>
      </c>
      <c r="R2" s="11"/>
      <c r="S2" s="11"/>
      <c r="T2" s="11"/>
      <c r="U2" s="11"/>
      <c r="V2" s="11"/>
      <c r="W2" s="11"/>
      <c r="X2" s="11"/>
      <c r="Y2" s="11"/>
      <c r="Z2" s="11"/>
      <c r="AA2" s="11"/>
      <c r="AB2" s="11"/>
    </row>
    <row r="3" ht="15.75" customHeight="1">
      <c r="A3" s="11" t="str">
        <f>IFERROR(__xludf.DUMMYFUNCTION("""COMPUTED_VALUE"""),"Ankheg")</f>
        <v>Ankheg</v>
      </c>
      <c r="B3" s="12">
        <f>IFERROR(__xludf.DUMMYFUNCTION("""COMPUTED_VALUE"""),2.0)</f>
        <v>2</v>
      </c>
      <c r="C3" s="11" t="str">
        <f>IFERROR(__xludf.DUMMYFUNCTION("""COMPUTED_VALUE"""),"CR")</f>
        <v>CR</v>
      </c>
      <c r="D3" s="11" t="str">
        <f>IFERROR(__xludf.DUMMYFUNCTION("""COMPUTED_VALUE"""),"Horse-sized, rust-brown insects. They burrow vast, underground warrens into the bedrock.")</f>
        <v>Horse-sized, rust-brown insects. They burrow vast, underground warrens into the bedrock.</v>
      </c>
      <c r="E3" s="11">
        <f>IFERROR(__xludf.DUMMYFUNCTION("""COMPUTED_VALUE"""),14.0)</f>
        <v>14</v>
      </c>
      <c r="F3" s="11">
        <f>IFERROR(__xludf.DUMMYFUNCTION("""COMPUTED_VALUE"""),14.0)</f>
        <v>14</v>
      </c>
      <c r="G3" s="11" t="str">
        <f>IFERROR(__xludf.DUMMYFUNCTION("""COMPUTED_VALUE"""),"1 bite +4 (1d6) or 1 acid spray (near) +4 (2d6)")</f>
        <v>1 bite +4 (1d6) or 1 acid spray (near) +4 (2d6)</v>
      </c>
      <c r="H3" s="11" t="str">
        <f>IFERROR(__xludf.DUMMYFUNCTION("""COMPUTED_VALUE"""),"near (burrow)")</f>
        <v>near (burrow)</v>
      </c>
      <c r="I3" s="11">
        <f>IFERROR(__xludf.DUMMYFUNCTION("""COMPUTED_VALUE"""),2.0)</f>
        <v>2</v>
      </c>
      <c r="J3" s="11">
        <f>IFERROR(__xludf.DUMMYFUNCTION("""COMPUTED_VALUE"""),2.0)</f>
        <v>2</v>
      </c>
      <c r="K3" s="11">
        <f>IFERROR(__xludf.DUMMYFUNCTION("""COMPUTED_VALUE"""),1.0)</f>
        <v>1</v>
      </c>
      <c r="L3" s="11">
        <f>IFERROR(__xludf.DUMMYFUNCTION("""COMPUTED_VALUE"""),-2.0)</f>
        <v>-2</v>
      </c>
      <c r="M3" s="11">
        <f>IFERROR(__xludf.DUMMYFUNCTION("""COMPUTED_VALUE"""),1.0)</f>
        <v>1</v>
      </c>
      <c r="N3" s="11">
        <f>IFERROR(__xludf.DUMMYFUNCTION("""COMPUTED_VALUE"""),-2.0)</f>
        <v>-2</v>
      </c>
      <c r="O3" s="11" t="str">
        <f>IFERROR(__xludf.DUMMYFUNCTION("""COMPUTED_VALUE"""),"N")</f>
        <v>N</v>
      </c>
      <c r="P3" s="13">
        <f>IFERROR(__xludf.DUMMYFUNCTION("""COMPUTED_VALUE"""),3.0)</f>
        <v>3</v>
      </c>
      <c r="Q3" s="11"/>
      <c r="R3" s="11"/>
      <c r="S3" s="11"/>
      <c r="T3" s="11"/>
      <c r="U3" s="11"/>
      <c r="V3" s="11"/>
      <c r="W3" s="11"/>
      <c r="X3" s="11"/>
      <c r="Y3" s="11"/>
      <c r="Z3" s="11"/>
      <c r="AA3" s="11"/>
      <c r="AB3" s="11"/>
    </row>
    <row r="4" ht="15.75" customHeight="1">
      <c r="A4" s="11" t="str">
        <f>IFERROR(__xludf.DUMMYFUNCTION("""COMPUTED_VALUE"""),"Azer")</f>
        <v>Azer</v>
      </c>
      <c r="B4" s="12">
        <f>IFERROR(__xludf.DUMMYFUNCTION("""COMPUTED_VALUE"""),2.0)</f>
        <v>2</v>
      </c>
      <c r="C4" s="11" t="str">
        <f>IFERROR(__xludf.DUMMYFUNCTION("""COMPUTED_VALUE"""),"CR")</f>
        <v>CR</v>
      </c>
      <c r="D4" s="11" t="str">
        <f>IFERROR(__xludf.DUMMYFUNCTION("""COMPUTED_VALUE"""),"Dwarves with bronze, metallic skin and flames for hair.")</f>
        <v>Dwarves with bronze, metallic skin and flames for hair.</v>
      </c>
      <c r="E4" s="11">
        <f>IFERROR(__xludf.DUMMYFUNCTION("""COMPUTED_VALUE"""),15.0)</f>
        <v>15</v>
      </c>
      <c r="F4" s="11">
        <f>IFERROR(__xludf.DUMMYFUNCTION("""COMPUTED_VALUE"""),15.0)</f>
        <v>15</v>
      </c>
      <c r="G4" s="11" t="str">
        <f>IFERROR(__xludf.DUMMYFUNCTION("""COMPUTED_VALUE"""),"2 flaming warhammer +3 (1d10, ignites flammables) or 1 crossbow (far) +0 (1d6)")</f>
        <v>2 flaming warhammer +3 (1d10, ignites flammables) or 1 crossbow (far) +0 (1d6)</v>
      </c>
      <c r="H4" s="11" t="str">
        <f>IFERROR(__xludf.DUMMYFUNCTION("""COMPUTED_VALUE"""),"near")</f>
        <v>near</v>
      </c>
      <c r="I4" s="11">
        <f>IFERROR(__xludf.DUMMYFUNCTION("""COMPUTED_VALUE"""),3.0)</f>
        <v>3</v>
      </c>
      <c r="J4" s="11">
        <f>IFERROR(__xludf.DUMMYFUNCTION("""COMPUTED_VALUE"""),0.0)</f>
        <v>0</v>
      </c>
      <c r="K4" s="11">
        <f>IFERROR(__xludf.DUMMYFUNCTION("""COMPUTED_VALUE"""),2.0)</f>
        <v>2</v>
      </c>
      <c r="L4" s="11">
        <f>IFERROR(__xludf.DUMMYFUNCTION("""COMPUTED_VALUE"""),0.0)</f>
        <v>0</v>
      </c>
      <c r="M4" s="11">
        <f>IFERROR(__xludf.DUMMYFUNCTION("""COMPUTED_VALUE"""),0.0)</f>
        <v>0</v>
      </c>
      <c r="N4" s="11">
        <f>IFERROR(__xludf.DUMMYFUNCTION("""COMPUTED_VALUE"""),0.0)</f>
        <v>0</v>
      </c>
      <c r="O4" s="11" t="str">
        <f>IFERROR(__xludf.DUMMYFUNCTION("""COMPUTED_VALUE"""),"L")</f>
        <v>L</v>
      </c>
      <c r="P4" s="13">
        <f>IFERROR(__xludf.DUMMYFUNCTION("""COMPUTED_VALUE"""),3.0)</f>
        <v>3</v>
      </c>
      <c r="Q4" s="11" t="str">
        <f>IFERROR(__xludf.DUMMYFUNCTION("""COMPUTED_VALUE"""),"Impervious. Fire immune.")</f>
        <v>Impervious. Fire immune.</v>
      </c>
      <c r="R4" s="11"/>
      <c r="S4" s="11"/>
      <c r="T4" s="11"/>
      <c r="U4" s="11"/>
      <c r="V4" s="11"/>
      <c r="W4" s="11"/>
      <c r="X4" s="11"/>
      <c r="Y4" s="11"/>
      <c r="Z4" s="11"/>
      <c r="AA4" s="11"/>
      <c r="AB4" s="11"/>
    </row>
    <row r="5" ht="15.75" customHeight="1">
      <c r="A5" s="11" t="str">
        <f>IFERROR(__xludf.DUMMYFUNCTION("""COMPUTED_VALUE"""),"Boar")</f>
        <v>Boar</v>
      </c>
      <c r="B5" s="12">
        <f>IFERROR(__xludf.DUMMYFUNCTION("""COMPUTED_VALUE"""),0.25)</f>
        <v>0.25</v>
      </c>
      <c r="C5" s="11" t="str">
        <f>IFERROR(__xludf.DUMMYFUNCTION("""COMPUTED_VALUE"""),"CR")</f>
        <v>CR</v>
      </c>
      <c r="D5" s="11" t="str">
        <f>IFERROR(__xludf.DUMMYFUNCTION("""COMPUTED_VALUE"""),"Ornery wild pig with bristly, russet hair and yellowed tusks.")</f>
        <v>Ornery wild pig with bristly, russet hair and yellowed tusks.</v>
      </c>
      <c r="E5" s="11">
        <f>IFERROR(__xludf.DUMMYFUNCTION("""COMPUTED_VALUE"""),12.0)</f>
        <v>12</v>
      </c>
      <c r="F5" s="11">
        <f>IFERROR(__xludf.DUMMYFUNCTION("""COMPUTED_VALUE"""),14.0)</f>
        <v>14</v>
      </c>
      <c r="G5" s="11" t="str">
        <f>IFERROR(__xludf.DUMMYFUNCTION("""COMPUTED_VALUE"""),"2 tusk +3 (1d6)")</f>
        <v>2 tusk +3 (1d6)</v>
      </c>
      <c r="H5" s="11" t="str">
        <f>IFERROR(__xludf.DUMMYFUNCTION("""COMPUTED_VALUE"""),"near")</f>
        <v>near</v>
      </c>
      <c r="I5" s="11">
        <f>IFERROR(__xludf.DUMMYFUNCTION("""COMPUTED_VALUE"""),3.0)</f>
        <v>3</v>
      </c>
      <c r="J5" s="11">
        <f>IFERROR(__xludf.DUMMYFUNCTION("""COMPUTED_VALUE"""),0.0)</f>
        <v>0</v>
      </c>
      <c r="K5" s="11">
        <f>IFERROR(__xludf.DUMMYFUNCTION("""COMPUTED_VALUE"""),1.0)</f>
        <v>1</v>
      </c>
      <c r="L5" s="11">
        <f>IFERROR(__xludf.DUMMYFUNCTION("""COMPUTED_VALUE"""),-2.0)</f>
        <v>-2</v>
      </c>
      <c r="M5" s="11">
        <f>IFERROR(__xludf.DUMMYFUNCTION("""COMPUTED_VALUE"""),1.0)</f>
        <v>1</v>
      </c>
      <c r="N5" s="11">
        <f>IFERROR(__xludf.DUMMYFUNCTION("""COMPUTED_VALUE"""),-2.0)</f>
        <v>-2</v>
      </c>
      <c r="O5" s="11" t="str">
        <f>IFERROR(__xludf.DUMMYFUNCTION("""COMPUTED_VALUE"""),"N")</f>
        <v>N</v>
      </c>
      <c r="P5" s="13">
        <f>IFERROR(__xludf.DUMMYFUNCTION("""COMPUTED_VALUE"""),3.0)</f>
        <v>3</v>
      </c>
      <c r="Q5" s="11" t="str">
        <f>IFERROR(__xludf.DUMMYFUNCTION("""COMPUTED_VALUE"""),"Gore. Deals an extra die of damage if it hits the same target with both tusks.")</f>
        <v>Gore. Deals an extra die of damage if it hits the same target with both tusks.</v>
      </c>
      <c r="R5" s="11"/>
      <c r="S5" s="11"/>
      <c r="T5" s="11"/>
      <c r="U5" s="11"/>
      <c r="V5" s="11"/>
      <c r="W5" s="11"/>
      <c r="X5" s="11"/>
      <c r="Y5" s="11"/>
      <c r="Z5" s="11"/>
      <c r="AA5" s="11"/>
      <c r="AB5" s="11"/>
    </row>
    <row r="6" ht="15.75" customHeight="1">
      <c r="A6" s="11" t="str">
        <f>IFERROR(__xludf.DUMMYFUNCTION("""COMPUTED_VALUE"""),"Bugbear")</f>
        <v>Bugbear</v>
      </c>
      <c r="B6" s="12">
        <f>IFERROR(__xludf.DUMMYFUNCTION("""COMPUTED_VALUE"""),1.0)</f>
        <v>1</v>
      </c>
      <c r="C6" s="11" t="str">
        <f>IFERROR(__xludf.DUMMYFUNCTION("""COMPUTED_VALUE"""),"CR")</f>
        <v>CR</v>
      </c>
      <c r="D6" s="11" t="str">
        <f>IFERROR(__xludf.DUMMYFUNCTION("""COMPUTED_VALUE"""),"Brutish, bat-eared goblinoids covered in brown fur.")</f>
        <v>Brutish, bat-eared goblinoids covered in brown fur.</v>
      </c>
      <c r="E6" s="11">
        <f>IFERROR(__xludf.DUMMYFUNCTION("""COMPUTED_VALUE"""),13.0)</f>
        <v>13</v>
      </c>
      <c r="F6" s="11">
        <f>IFERROR(__xludf.DUMMYFUNCTION("""COMPUTED_VALUE"""),14.0)</f>
        <v>14</v>
      </c>
      <c r="G6" s="11" t="str">
        <f>IFERROR(__xludf.DUMMYFUNCTION("""COMPUTED_VALUE"""),"2 spiked mace +3 (1d6)")</f>
        <v>2 spiked mace +3 (1d6)</v>
      </c>
      <c r="H6" s="11" t="str">
        <f>IFERROR(__xludf.DUMMYFUNCTION("""COMPUTED_VALUE"""),"near")</f>
        <v>near</v>
      </c>
      <c r="I6" s="11">
        <f>IFERROR(__xludf.DUMMYFUNCTION("""COMPUTED_VALUE"""),3.0)</f>
        <v>3</v>
      </c>
      <c r="J6" s="11">
        <f>IFERROR(__xludf.DUMMYFUNCTION("""COMPUTED_VALUE"""),0.0)</f>
        <v>0</v>
      </c>
      <c r="K6" s="11">
        <f>IFERROR(__xludf.DUMMYFUNCTION("""COMPUTED_VALUE"""),1.0)</f>
        <v>1</v>
      </c>
      <c r="L6" s="11">
        <f>IFERROR(__xludf.DUMMYFUNCTION("""COMPUTED_VALUE"""),-1.0)</f>
        <v>-1</v>
      </c>
      <c r="M6" s="11">
        <f>IFERROR(__xludf.DUMMYFUNCTION("""COMPUTED_VALUE"""),0.0)</f>
        <v>0</v>
      </c>
      <c r="N6" s="11">
        <f>IFERROR(__xludf.DUMMYFUNCTION("""COMPUTED_VALUE"""),-2.0)</f>
        <v>-2</v>
      </c>
      <c r="O6" s="11" t="str">
        <f>IFERROR(__xludf.DUMMYFUNCTION("""COMPUTED_VALUE"""),"C")</f>
        <v>C</v>
      </c>
      <c r="P6" s="13">
        <f>IFERROR(__xludf.DUMMYFUNCTION("""COMPUTED_VALUE"""),3.0)</f>
        <v>3</v>
      </c>
      <c r="Q6" s="11" t="str">
        <f>IFERROR(__xludf.DUMMYFUNCTION("""COMPUTED_VALUE"""),"Stealthy. ADV on checks to sneak and hide.")</f>
        <v>Stealthy. ADV on checks to sneak and hide.</v>
      </c>
      <c r="R6" s="11"/>
      <c r="S6" s="11"/>
      <c r="T6" s="11"/>
      <c r="U6" s="11"/>
      <c r="V6" s="11"/>
      <c r="W6" s="11"/>
      <c r="X6" s="11"/>
      <c r="Y6" s="11"/>
      <c r="Z6" s="11"/>
      <c r="AA6" s="11"/>
      <c r="AB6" s="11"/>
    </row>
    <row r="7" ht="15.75" customHeight="1">
      <c r="A7" s="11" t="str">
        <f>IFERROR(__xludf.DUMMYFUNCTION("""COMPUTED_VALUE"""),"Centaur")</f>
        <v>Centaur</v>
      </c>
      <c r="B7" s="12">
        <f>IFERROR(__xludf.DUMMYFUNCTION("""COMPUTED_VALUE"""),2.0)</f>
        <v>2</v>
      </c>
      <c r="C7" s="11" t="str">
        <f>IFERROR(__xludf.DUMMYFUNCTION("""COMPUTED_VALUE"""),"CR")</f>
        <v>CR</v>
      </c>
      <c r="D7" s="11" t="str">
        <f>IFERROR(__xludf.DUMMYFUNCTION("""COMPUTED_VALUE"""),"Herd-dwelling beings with the
upper body of a human and
lower body of a horse.")</f>
        <v>Herd-dwelling beings with the
upper body of a human and
lower body of a horse.</v>
      </c>
      <c r="E7" s="11" t="str">
        <f>IFERROR(__xludf.DUMMYFUNCTION("""COMPUTED_VALUE"""),"12 (leather)")</f>
        <v>12 (leather)</v>
      </c>
      <c r="F7" s="11">
        <f>IFERROR(__xludf.DUMMYFUNCTION("""COMPUTED_VALUE"""),14.0)</f>
        <v>14</v>
      </c>
      <c r="G7" s="11" t="str">
        <f>IFERROR(__xludf.DUMMYFUNCTION("""COMPUTED_VALUE"""),"2 spear (close/near) +2 (1d6) or 1 longbow (far) +1 (1d8)")</f>
        <v>2 spear (close/near) +2 (1d6) or 1 longbow (far) +1 (1d8)</v>
      </c>
      <c r="H7" s="11" t="str">
        <f>IFERROR(__xludf.DUMMYFUNCTION("""COMPUTED_VALUE"""),"double near")</f>
        <v>double near</v>
      </c>
      <c r="I7" s="11">
        <f>IFERROR(__xludf.DUMMYFUNCTION("""COMPUTED_VALUE"""),2.0)</f>
        <v>2</v>
      </c>
      <c r="J7" s="11">
        <f>IFERROR(__xludf.DUMMYFUNCTION("""COMPUTED_VALUE"""),1.0)</f>
        <v>1</v>
      </c>
      <c r="K7" s="11">
        <f>IFERROR(__xludf.DUMMYFUNCTION("""COMPUTED_VALUE"""),1.0)</f>
        <v>1</v>
      </c>
      <c r="L7" s="11">
        <f>IFERROR(__xludf.DUMMYFUNCTION("""COMPUTED_VALUE"""),0.0)</f>
        <v>0</v>
      </c>
      <c r="M7" s="11">
        <f>IFERROR(__xludf.DUMMYFUNCTION("""COMPUTED_VALUE"""),2.0)</f>
        <v>2</v>
      </c>
      <c r="N7" s="11">
        <f>IFERROR(__xludf.DUMMYFUNCTION("""COMPUTED_VALUE"""),1.0)</f>
        <v>1</v>
      </c>
      <c r="O7" s="11" t="str">
        <f>IFERROR(__xludf.DUMMYFUNCTION("""COMPUTED_VALUE"""),"N")</f>
        <v>N</v>
      </c>
      <c r="P7" s="13">
        <f>IFERROR(__xludf.DUMMYFUNCTION("""COMPUTED_VALUE"""),3.0)</f>
        <v>3</v>
      </c>
      <c r="Q7" s="11"/>
      <c r="R7" s="11"/>
      <c r="S7" s="11"/>
      <c r="T7" s="11"/>
      <c r="U7" s="11"/>
      <c r="V7" s="11"/>
      <c r="W7" s="11"/>
      <c r="X7" s="11"/>
      <c r="Y7" s="11"/>
      <c r="Z7" s="11"/>
      <c r="AA7" s="11"/>
      <c r="AB7" s="11"/>
    </row>
    <row r="8" ht="15.75" customHeight="1">
      <c r="A8" s="11" t="str">
        <f>IFERROR(__xludf.DUMMYFUNCTION("""COMPUTED_VALUE"""),"Cockatrice")</f>
        <v>Cockatrice</v>
      </c>
      <c r="B8" s="12">
        <f>IFERROR(__xludf.DUMMYFUNCTION("""COMPUTED_VALUE"""),0.5)</f>
        <v>0.5</v>
      </c>
      <c r="C8" s="11" t="str">
        <f>IFERROR(__xludf.DUMMYFUNCTION("""COMPUTED_VALUE"""),"CR")</f>
        <v>CR</v>
      </c>
      <c r="D8" s="11" t="str">
        <f>IFERROR(__xludf.DUMMYFUNCTION("""COMPUTED_VALUE"""),"A molting, lizard-chicken hybrid with a crimson, razorlike crest.")</f>
        <v>A molting, lizard-chicken hybrid with a crimson, razorlike crest.</v>
      </c>
      <c r="E8" s="11">
        <f>IFERROR(__xludf.DUMMYFUNCTION("""COMPUTED_VALUE"""),11.0)</f>
        <v>11</v>
      </c>
      <c r="F8" s="11">
        <f>IFERROR(__xludf.DUMMYFUNCTION("""COMPUTED_VALUE"""),14.0)</f>
        <v>14</v>
      </c>
      <c r="G8" s="11" t="str">
        <f>IFERROR(__xludf.DUMMYFUNCTION("""COMPUTED_VALUE"""),"1 bite +1 (1d4 + petrify)")</f>
        <v>1 bite +1 (1d4 + petrify)</v>
      </c>
      <c r="H8" s="11" t="str">
        <f>IFERROR(__xludf.DUMMYFUNCTION("""COMPUTED_VALUE"""),"near (fly)")</f>
        <v>near (fly)</v>
      </c>
      <c r="I8" s="11">
        <f>IFERROR(__xludf.DUMMYFUNCTION("""COMPUTED_VALUE"""),-2.0)</f>
        <v>-2</v>
      </c>
      <c r="J8" s="11">
        <f>IFERROR(__xludf.DUMMYFUNCTION("""COMPUTED_VALUE"""),1.0)</f>
        <v>1</v>
      </c>
      <c r="K8" s="11">
        <f>IFERROR(__xludf.DUMMYFUNCTION("""COMPUTED_VALUE"""),1.0)</f>
        <v>1</v>
      </c>
      <c r="L8" s="11">
        <f>IFERROR(__xludf.DUMMYFUNCTION("""COMPUTED_VALUE"""),-3.0)</f>
        <v>-3</v>
      </c>
      <c r="M8" s="11">
        <f>IFERROR(__xludf.DUMMYFUNCTION("""COMPUTED_VALUE"""),1.0)</f>
        <v>1</v>
      </c>
      <c r="N8" s="11">
        <f>IFERROR(__xludf.DUMMYFUNCTION("""COMPUTED_VALUE"""),-3.0)</f>
        <v>-3</v>
      </c>
      <c r="O8" s="11" t="str">
        <f>IFERROR(__xludf.DUMMYFUNCTION("""COMPUTED_VALUE"""),"N")</f>
        <v>N</v>
      </c>
      <c r="P8" s="13">
        <f>IFERROR(__xludf.DUMMYFUNCTION("""COMPUTED_VALUE"""),3.0)</f>
        <v>3</v>
      </c>
      <c r="Q8" s="11" t="str">
        <f>IFERROR(__xludf.DUMMYFUNCTION("""COMPUTED_VALUE"""),"Petrify. DC 12 CON or petrified.")</f>
        <v>Petrify. DC 12 CON or petrified.</v>
      </c>
      <c r="R8" s="11"/>
      <c r="S8" s="11"/>
      <c r="T8" s="11"/>
      <c r="U8" s="11"/>
      <c r="V8" s="11"/>
      <c r="W8" s="11"/>
      <c r="X8" s="11"/>
      <c r="Y8" s="11"/>
      <c r="Z8" s="11"/>
      <c r="AA8" s="11"/>
      <c r="AB8" s="11"/>
    </row>
    <row r="9" ht="15.75" customHeight="1">
      <c r="A9" s="11" t="str">
        <f>IFERROR(__xludf.DUMMYFUNCTION("""COMPUTED_VALUE"""),"Devil, Barbed")</f>
        <v>Devil, Barbed</v>
      </c>
      <c r="B9" s="12">
        <f>IFERROR(__xludf.DUMMYFUNCTION("""COMPUTED_VALUE"""),5.0)</f>
        <v>5</v>
      </c>
      <c r="C9" s="11" t="str">
        <f>IFERROR(__xludf.DUMMYFUNCTION("""COMPUTED_VALUE"""),"CR")</f>
        <v>CR</v>
      </c>
      <c r="D9" s="11" t="str">
        <f>IFERROR(__xludf.DUMMYFUNCTION("""COMPUTED_VALUE"""),"Lanky, green-mottled fiends bristling with hooked spines.")</f>
        <v>Lanky, green-mottled fiends bristling with hooked spines.</v>
      </c>
      <c r="E9" s="11">
        <f>IFERROR(__xludf.DUMMYFUNCTION("""COMPUTED_VALUE"""),13.0)</f>
        <v>13</v>
      </c>
      <c r="F9" s="11">
        <f>IFERROR(__xludf.DUMMYFUNCTION("""COMPUTED_VALUE"""),14.0)</f>
        <v>14</v>
      </c>
      <c r="G9" s="11" t="str">
        <f>IFERROR(__xludf.DUMMYFUNCTION("""COMPUTED_VALUE"""),"2 spine (near) +3 (1d6 + barb) or 1 fire blast (far) +3 (1d8)")</f>
        <v>2 spine (near) +3 (1d6 + barb) or 1 fire blast (far) +3 (1d8)</v>
      </c>
      <c r="H9" s="11" t="str">
        <f>IFERROR(__xludf.DUMMYFUNCTION("""COMPUTED_VALUE"""),"near")</f>
        <v>near</v>
      </c>
      <c r="I9" s="11">
        <f>IFERROR(__xludf.DUMMYFUNCTION("""COMPUTED_VALUE"""),2.0)</f>
        <v>2</v>
      </c>
      <c r="J9" s="11">
        <f>IFERROR(__xludf.DUMMYFUNCTION("""COMPUTED_VALUE"""),3.0)</f>
        <v>3</v>
      </c>
      <c r="K9" s="11">
        <f>IFERROR(__xludf.DUMMYFUNCTION("""COMPUTED_VALUE"""),1.0)</f>
        <v>1</v>
      </c>
      <c r="L9" s="11">
        <f>IFERROR(__xludf.DUMMYFUNCTION("""COMPUTED_VALUE"""),1.0)</f>
        <v>1</v>
      </c>
      <c r="M9" s="11">
        <f>IFERROR(__xludf.DUMMYFUNCTION("""COMPUTED_VALUE"""),1.0)</f>
        <v>1</v>
      </c>
      <c r="N9" s="11">
        <f>IFERROR(__xludf.DUMMYFUNCTION("""COMPUTED_VALUE"""),1.0)</f>
        <v>1</v>
      </c>
      <c r="O9" s="11" t="str">
        <f>IFERROR(__xludf.DUMMYFUNCTION("""COMPUTED_VALUE"""),"C")</f>
        <v>C</v>
      </c>
      <c r="P9" s="13">
        <f>IFERROR(__xludf.DUMMYFUNCTION("""COMPUTED_VALUE"""),3.0)</f>
        <v>3</v>
      </c>
      <c r="Q9" s="11" t="str">
        <f>IFERROR(__xludf.DUMMYFUNCTION("""COMPUTED_VALUE"""),"Barb. Each spine sticks, dealing 1d4 damage each round. DC 12 STR check on turn to remove.")</f>
        <v>Barb. Each spine sticks, dealing 1d4 damage each round. DC 12 STR check on turn to remove.</v>
      </c>
      <c r="R9" s="11"/>
      <c r="S9" s="11"/>
      <c r="T9" s="11"/>
      <c r="U9" s="11"/>
      <c r="V9" s="11"/>
      <c r="W9" s="11"/>
      <c r="X9" s="11"/>
      <c r="Y9" s="11"/>
      <c r="Z9" s="11"/>
      <c r="AA9" s="11"/>
      <c r="AB9" s="11"/>
    </row>
    <row r="10" ht="15.75" customHeight="1">
      <c r="A10" s="11" t="str">
        <f>IFERROR(__xludf.DUMMYFUNCTION("""COMPUTED_VALUE"""),"Ettercap")</f>
        <v>Ettercap</v>
      </c>
      <c r="B10" s="12">
        <f>IFERROR(__xludf.DUMMYFUNCTION("""COMPUTED_VALUE"""),2.0)</f>
        <v>2</v>
      </c>
      <c r="C10" s="11" t="str">
        <f>IFERROR(__xludf.DUMMYFUNCTION("""COMPUTED_VALUE"""),"CR")</f>
        <v>CR</v>
      </c>
      <c r="D10" s="11" t="str">
        <f>IFERROR(__xludf.DUMMYFUNCTION("""COMPUTED_VALUE"""),"Bipedal, eight-eyed spiderfolk with spindly legs and purple fur.")</f>
        <v>Bipedal, eight-eyed spiderfolk with spindly legs and purple fur.</v>
      </c>
      <c r="E10" s="11">
        <f>IFERROR(__xludf.DUMMYFUNCTION("""COMPUTED_VALUE"""),12.0)</f>
        <v>12</v>
      </c>
      <c r="F10" s="11">
        <f>IFERROR(__xludf.DUMMYFUNCTION("""COMPUTED_VALUE"""),14.0)</f>
        <v>14</v>
      </c>
      <c r="G10" s="11" t="str">
        <f>IFERROR(__xludf.DUMMYFUNCTION("""COMPUTED_VALUE"""),"2 bite +2 (1d6) or 1 poison web (near) +2")</f>
        <v>2 bite +2 (1d6) or 1 poison web (near) +2</v>
      </c>
      <c r="H10" s="11" t="str">
        <f>IFERROR(__xludf.DUMMYFUNCTION("""COMPUTED_VALUE"""),"near (climb)")</f>
        <v>near (climb)</v>
      </c>
      <c r="I10" s="11">
        <f>IFERROR(__xludf.DUMMYFUNCTION("""COMPUTED_VALUE"""),0.0)</f>
        <v>0</v>
      </c>
      <c r="J10" s="11">
        <f>IFERROR(__xludf.DUMMYFUNCTION("""COMPUTED_VALUE"""),2.0)</f>
        <v>2</v>
      </c>
      <c r="K10" s="11">
        <f>IFERROR(__xludf.DUMMYFUNCTION("""COMPUTED_VALUE"""),1.0)</f>
        <v>1</v>
      </c>
      <c r="L10" s="11">
        <f>IFERROR(__xludf.DUMMYFUNCTION("""COMPUTED_VALUE"""),0.0)</f>
        <v>0</v>
      </c>
      <c r="M10" s="11">
        <f>IFERROR(__xludf.DUMMYFUNCTION("""COMPUTED_VALUE"""),0.0)</f>
        <v>0</v>
      </c>
      <c r="N10" s="11">
        <f>IFERROR(__xludf.DUMMYFUNCTION("""COMPUTED_VALUE"""),-1.0)</f>
        <v>-1</v>
      </c>
      <c r="O10" s="11" t="str">
        <f>IFERROR(__xludf.DUMMYFUNCTION("""COMPUTED_VALUE"""),"C")</f>
        <v>C</v>
      </c>
      <c r="P10" s="13">
        <f>IFERROR(__xludf.DUMMYFUNCTION("""COMPUTED_VALUE"""),3.0)</f>
        <v>3</v>
      </c>
      <c r="Q10" s="11" t="str">
        <f>IFERROR(__xludf.DUMMYFUNCTION("""COMPUTED_VALUE"""),"Poison Web. One target stuck in place and 1d4 damage/round. DC 12 DEX to escape on turn.")</f>
        <v>Poison Web. One target stuck in place and 1d4 damage/round. DC 12 DEX to escape on turn.</v>
      </c>
      <c r="R10" s="11"/>
      <c r="S10" s="11"/>
      <c r="T10" s="11"/>
      <c r="U10" s="11"/>
      <c r="V10" s="11"/>
      <c r="W10" s="11"/>
      <c r="X10" s="11"/>
      <c r="Y10" s="11"/>
      <c r="Z10" s="11"/>
      <c r="AA10" s="11"/>
      <c r="AB10" s="11"/>
    </row>
    <row r="11" ht="15.75" customHeight="1">
      <c r="A11" s="11" t="str">
        <f>IFERROR(__xludf.DUMMYFUNCTION("""COMPUTED_VALUE"""),"Gladiator")</f>
        <v>Gladiator</v>
      </c>
      <c r="B11" s="12">
        <f>IFERROR(__xludf.DUMMYFUNCTION("""COMPUTED_VALUE"""),5.0)</f>
        <v>5</v>
      </c>
      <c r="C11" s="11" t="str">
        <f>IFERROR(__xludf.DUMMYFUNCTION("""COMPUTED_VALUE"""),"CR")</f>
        <v>CR</v>
      </c>
      <c r="D11" s="11" t="str">
        <f>IFERROR(__xludf.DUMMYFUNCTION("""COMPUTED_VALUE"""),"Veteran warriors seasoned in arena fights to the death.")</f>
        <v>Veteran warriors seasoned in arena fights to the death.</v>
      </c>
      <c r="E11" s="11" t="str">
        <f>IFERROR(__xludf.DUMMYFUNCTION("""COMPUTED_VALUE"""),"16 (chainmail + shield)")</f>
        <v>16 (chainmail + shield)</v>
      </c>
      <c r="F11" s="11">
        <f>IFERROR(__xludf.DUMMYFUNCTION("""COMPUTED_VALUE"""),15.0)</f>
        <v>15</v>
      </c>
      <c r="G11" s="11" t="str">
        <f>IFERROR(__xludf.DUMMYFUNCTION("""COMPUTED_VALUE"""),"2 longsword +3 (1d8) or 1 spear (close/near) +3 (1d6)")</f>
        <v>2 longsword +3 (1d8) or 1 spear (close/near) +3 (1d6)</v>
      </c>
      <c r="H11" s="11" t="str">
        <f>IFERROR(__xludf.DUMMYFUNCTION("""COMPUTED_VALUE"""),"near (burrow)")</f>
        <v>near (burrow)</v>
      </c>
      <c r="I11" s="11">
        <f>IFERROR(__xludf.DUMMYFUNCTION("""COMPUTED_VALUE"""),2.0)</f>
        <v>2</v>
      </c>
      <c r="J11" s="11">
        <f>IFERROR(__xludf.DUMMYFUNCTION("""COMPUTED_VALUE"""),1.0)</f>
        <v>1</v>
      </c>
      <c r="K11" s="11">
        <f>IFERROR(__xludf.DUMMYFUNCTION("""COMPUTED_VALUE"""),2.0)</f>
        <v>2</v>
      </c>
      <c r="L11" s="11">
        <f>IFERROR(__xludf.DUMMYFUNCTION("""COMPUTED_VALUE"""),0.0)</f>
        <v>0</v>
      </c>
      <c r="M11" s="11">
        <f>IFERROR(__xludf.DUMMYFUNCTION("""COMPUTED_VALUE"""),0.0)</f>
        <v>0</v>
      </c>
      <c r="N11" s="11">
        <f>IFERROR(__xludf.DUMMYFUNCTION("""COMPUTED_VALUE"""),1.0)</f>
        <v>1</v>
      </c>
      <c r="O11" s="11" t="str">
        <f>IFERROR(__xludf.DUMMYFUNCTION("""COMPUTED_VALUE"""),"N")</f>
        <v>N</v>
      </c>
      <c r="P11" s="13">
        <f>IFERROR(__xludf.DUMMYFUNCTION("""COMPUTED_VALUE"""),3.0)</f>
        <v>3</v>
      </c>
      <c r="Q11" s="11"/>
      <c r="R11" s="11"/>
      <c r="S11" s="11"/>
      <c r="T11" s="11"/>
      <c r="U11" s="11"/>
      <c r="V11" s="11"/>
      <c r="W11" s="11"/>
      <c r="X11" s="11"/>
      <c r="Y11" s="11"/>
      <c r="Z11" s="11"/>
      <c r="AA11" s="11"/>
      <c r="AB11" s="11"/>
    </row>
    <row r="12" ht="15.75" customHeight="1">
      <c r="A12" s="11" t="str">
        <f>IFERROR(__xludf.DUMMYFUNCTION("""COMPUTED_VALUE"""),"Gnome, Deep")</f>
        <v>Gnome, Deep</v>
      </c>
      <c r="B12" s="12">
        <f>IFERROR(__xludf.DUMMYFUNCTION("""COMPUTED_VALUE"""),0.5)</f>
        <v>0.5</v>
      </c>
      <c r="C12" s="11" t="str">
        <f>IFERROR(__xludf.DUMMYFUNCTION("""COMPUTED_VALUE"""),"CR")</f>
        <v>CR</v>
      </c>
      <c r="D12" s="11" t="str">
        <f>IFERROR(__xludf.DUMMYFUNCTION("""COMPUTED_VALUE"""),"Gray-skinned, white-haired fey the size of halflings. They hunt for gems and rare cave flora.")</f>
        <v>Gray-skinned, white-haired fey the size of halflings. They hunt for gems and rare cave flora.</v>
      </c>
      <c r="E12" s="11" t="str">
        <f>IFERROR(__xludf.DUMMYFUNCTION("""COMPUTED_VALUE"""),"14 (leather + shield)")</f>
        <v>14 (leather + shield)</v>
      </c>
      <c r="F12" s="11">
        <f>IFERROR(__xludf.DUMMYFUNCTION("""COMPUTED_VALUE"""),14.0)</f>
        <v>14</v>
      </c>
      <c r="G12" s="11" t="str">
        <f>IFERROR(__xludf.DUMMYFUNCTION("""COMPUTED_VALUE"""),"1 pick +3 (1d6) or 1 dart (near) +2 (1d4)")</f>
        <v>1 pick +3 (1d6) or 1 dart (near) +2 (1d4)</v>
      </c>
      <c r="H12" s="11" t="str">
        <f>IFERROR(__xludf.DUMMYFUNCTION("""COMPUTED_VALUE"""),"near")</f>
        <v>near</v>
      </c>
      <c r="I12" s="11">
        <f>IFERROR(__xludf.DUMMYFUNCTION("""COMPUTED_VALUE"""),2.0)</f>
        <v>2</v>
      </c>
      <c r="J12" s="11">
        <f>IFERROR(__xludf.DUMMYFUNCTION("""COMPUTED_VALUE"""),1.0)</f>
        <v>1</v>
      </c>
      <c r="K12" s="11">
        <f>IFERROR(__xludf.DUMMYFUNCTION("""COMPUTED_VALUE"""),1.0)</f>
        <v>1</v>
      </c>
      <c r="L12" s="11">
        <f>IFERROR(__xludf.DUMMYFUNCTION("""COMPUTED_VALUE"""),1.0)</f>
        <v>1</v>
      </c>
      <c r="M12" s="11">
        <f>IFERROR(__xludf.DUMMYFUNCTION("""COMPUTED_VALUE"""),1.0)</f>
        <v>1</v>
      </c>
      <c r="N12" s="11">
        <f>IFERROR(__xludf.DUMMYFUNCTION("""COMPUTED_VALUE"""),1.0)</f>
        <v>1</v>
      </c>
      <c r="O12" s="11" t="str">
        <f>IFERROR(__xludf.DUMMYFUNCTION("""COMPUTED_VALUE"""),"L")</f>
        <v>L</v>
      </c>
      <c r="P12" s="13">
        <f>IFERROR(__xludf.DUMMYFUNCTION("""COMPUTED_VALUE"""),3.0)</f>
        <v>3</v>
      </c>
      <c r="Q12" s="11" t="str">
        <f>IFERROR(__xludf.DUMMYFUNCTION("""COMPUTED_VALUE"""),"Stone Meld. 2/day, underground only. Turn invisible for 3 rounds.")</f>
        <v>Stone Meld. 2/day, underground only. Turn invisible for 3 rounds.</v>
      </c>
      <c r="R12" s="11"/>
      <c r="S12" s="11"/>
      <c r="T12" s="11"/>
      <c r="U12" s="11"/>
      <c r="V12" s="11"/>
      <c r="W12" s="11"/>
      <c r="X12" s="11"/>
      <c r="Y12" s="11"/>
      <c r="Z12" s="11"/>
      <c r="AA12" s="11"/>
      <c r="AB12" s="11"/>
    </row>
    <row r="13" ht="15.75" customHeight="1">
      <c r="A13" s="11" t="str">
        <f>IFERROR(__xludf.DUMMYFUNCTION("""COMPUTED_VALUE"""),"Harpy")</f>
        <v>Harpy</v>
      </c>
      <c r="B13" s="12">
        <f>IFERROR(__xludf.DUMMYFUNCTION("""COMPUTED_VALUE"""),1.0)</f>
        <v>1</v>
      </c>
      <c r="C13" s="11" t="str">
        <f>IFERROR(__xludf.DUMMYFUNCTION("""COMPUTED_VALUE"""),"CR")</f>
        <v>CR</v>
      </c>
      <c r="D13" s="11" t="str">
        <f>IFERROR(__xludf.DUMMYFUNCTION("""COMPUTED_VALUE"""),"Horrific, winged women with vulture-like lower bodies. They keen a hypnotic song.")</f>
        <v>Horrific, winged women with vulture-like lower bodies. They keen a hypnotic song.</v>
      </c>
      <c r="E13" s="11">
        <f>IFERROR(__xludf.DUMMYFUNCTION("""COMPUTED_VALUE"""),13.0)</f>
        <v>13</v>
      </c>
      <c r="F13" s="11">
        <f>IFERROR(__xludf.DUMMYFUNCTION("""COMPUTED_VALUE"""),14.0)</f>
        <v>14</v>
      </c>
      <c r="G13" s="11" t="str">
        <f>IFERROR(__xludf.DUMMYFUNCTION("""COMPUTED_VALUE"""),"2 claw +3 (1d6) or 1 song")</f>
        <v>2 claw +3 (1d6) or 1 song</v>
      </c>
      <c r="H13" s="11" t="str">
        <f>IFERROR(__xludf.DUMMYFUNCTION("""COMPUTED_VALUE"""),"near (fly)")</f>
        <v>near (fly)</v>
      </c>
      <c r="I13" s="11">
        <f>IFERROR(__xludf.DUMMYFUNCTION("""COMPUTED_VALUE"""),1.0)</f>
        <v>1</v>
      </c>
      <c r="J13" s="11">
        <f>IFERROR(__xludf.DUMMYFUNCTION("""COMPUTED_VALUE"""),3.0)</f>
        <v>3</v>
      </c>
      <c r="K13" s="11">
        <f>IFERROR(__xludf.DUMMYFUNCTION("""COMPUTED_VALUE"""),1.0)</f>
        <v>1</v>
      </c>
      <c r="L13" s="11">
        <f>IFERROR(__xludf.DUMMYFUNCTION("""COMPUTED_VALUE"""),0.0)</f>
        <v>0</v>
      </c>
      <c r="M13" s="11">
        <f>IFERROR(__xludf.DUMMYFUNCTION("""COMPUTED_VALUE"""),0.0)</f>
        <v>0</v>
      </c>
      <c r="N13" s="11">
        <f>IFERROR(__xludf.DUMMYFUNCTION("""COMPUTED_VALUE"""),1.0)</f>
        <v>1</v>
      </c>
      <c r="O13" s="11" t="str">
        <f>IFERROR(__xludf.DUMMYFUNCTION("""COMPUTED_VALUE"""),"C")</f>
        <v>C</v>
      </c>
      <c r="P13" s="13">
        <f>IFERROR(__xludf.DUMMYFUNCTION("""COMPUTED_VALUE"""),3.0)</f>
        <v>3</v>
      </c>
      <c r="Q13" s="14" t="str">
        <f>IFERROR(__xludf.DUMMYFUNCTION("""COMPUTED_VALUE"""),"Song. Enemies who can hear within double near DC 12 CHA or dazed and drawn to harpy for 1d4 rounds. Immune for 1 day if passed check.")</f>
        <v>Song. Enemies who can hear within double near DC 12 CHA or dazed and drawn to harpy for 1d4 rounds. Immune for 1 day if passed check.</v>
      </c>
      <c r="R13" s="14"/>
      <c r="S13" s="14"/>
      <c r="T13" s="14"/>
      <c r="U13" s="14"/>
      <c r="V13" s="14"/>
      <c r="W13" s="11"/>
      <c r="X13" s="11"/>
      <c r="Y13" s="11"/>
      <c r="Z13" s="11"/>
      <c r="AA13" s="11"/>
      <c r="AB13" s="11"/>
    </row>
    <row r="14" ht="15.75" customHeight="1">
      <c r="A14" s="11" t="str">
        <f>IFERROR(__xludf.DUMMYFUNCTION("""COMPUTED_VALUE"""),"Hippogriff")</f>
        <v>Hippogriff</v>
      </c>
      <c r="B14" s="12">
        <f>IFERROR(__xludf.DUMMYFUNCTION("""COMPUTED_VALUE"""),1.0)</f>
        <v>1</v>
      </c>
      <c r="C14" s="11" t="str">
        <f>IFERROR(__xludf.DUMMYFUNCTION("""COMPUTED_VALUE"""),"CR")</f>
        <v>CR</v>
      </c>
      <c r="D14" s="11" t="str">
        <f>IFERROR(__xludf.DUMMYFUNCTION("""COMPUTED_VALUE"""),"Fierce, winged creatures with the lower body of a horse and upper body of a giant eagle.")</f>
        <v>Fierce, winged creatures with the lower body of a horse and upper body of a giant eagle.</v>
      </c>
      <c r="E14" s="11">
        <f>IFERROR(__xludf.DUMMYFUNCTION("""COMPUTED_VALUE"""),13.0)</f>
        <v>13</v>
      </c>
      <c r="F14" s="11">
        <f>IFERROR(__xludf.DUMMYFUNCTION("""COMPUTED_VALUE"""),14.0)</f>
        <v>14</v>
      </c>
      <c r="G14" s="11" t="str">
        <f>IFERROR(__xludf.DUMMYFUNCTION("""COMPUTED_VALUE"""),"2 rend +3 (1d8)")</f>
        <v>2 rend +3 (1d8)</v>
      </c>
      <c r="H14" s="11" t="str">
        <f>IFERROR(__xludf.DUMMYFUNCTION("""COMPUTED_VALUE"""),"double near (fly)")</f>
        <v>double near (fly)</v>
      </c>
      <c r="I14" s="11">
        <f>IFERROR(__xludf.DUMMYFUNCTION("""COMPUTED_VALUE"""),3.0)</f>
        <v>3</v>
      </c>
      <c r="J14" s="11">
        <f>IFERROR(__xludf.DUMMYFUNCTION("""COMPUTED_VALUE"""),3.0)</f>
        <v>3</v>
      </c>
      <c r="K14" s="11">
        <f>IFERROR(__xludf.DUMMYFUNCTION("""COMPUTED_VALUE"""),1.0)</f>
        <v>1</v>
      </c>
      <c r="L14" s="11">
        <f>IFERROR(__xludf.DUMMYFUNCTION("""COMPUTED_VALUE"""),-3.0)</f>
        <v>-3</v>
      </c>
      <c r="M14" s="11">
        <f>IFERROR(__xludf.DUMMYFUNCTION("""COMPUTED_VALUE"""),1.0)</f>
        <v>1</v>
      </c>
      <c r="N14" s="11">
        <f>IFERROR(__xludf.DUMMYFUNCTION("""COMPUTED_VALUE"""),-2.0)</f>
        <v>-2</v>
      </c>
      <c r="O14" s="11" t="str">
        <f>IFERROR(__xludf.DUMMYFUNCTION("""COMPUTED_VALUE"""),"N")</f>
        <v>N</v>
      </c>
      <c r="P14" s="13">
        <f>IFERROR(__xludf.DUMMYFUNCTION("""COMPUTED_VALUE"""),3.0)</f>
        <v>3</v>
      </c>
      <c r="Q14" s="11"/>
      <c r="R14" s="11"/>
      <c r="S14" s="11"/>
      <c r="T14" s="11"/>
      <c r="U14" s="11"/>
      <c r="V14" s="11"/>
      <c r="W14" s="11"/>
      <c r="X14" s="11"/>
      <c r="Y14" s="11"/>
      <c r="Z14" s="11"/>
      <c r="AA14" s="11"/>
      <c r="AB14" s="11"/>
    </row>
    <row r="15" ht="15.75" customHeight="1">
      <c r="A15" s="11" t="str">
        <f>IFERROR(__xludf.DUMMYFUNCTION("""COMPUTED_VALUE"""),"Knight")</f>
        <v>Knight</v>
      </c>
      <c r="B15" s="12">
        <f>IFERROR(__xludf.DUMMYFUNCTION("""COMPUTED_VALUE"""),3.0)</f>
        <v>3</v>
      </c>
      <c r="C15" s="11" t="str">
        <f>IFERROR(__xludf.DUMMYFUNCTION("""COMPUTED_VALUE"""),"CR")</f>
        <v>CR</v>
      </c>
      <c r="D15" s="11" t="str">
        <f>IFERROR(__xludf.DUMMYFUNCTION("""COMPUTED_VALUE"""),"A warrior in shining plate mail and the surcoat of a knightly order.")</f>
        <v>A warrior in shining plate mail and the surcoat of a knightly order.</v>
      </c>
      <c r="E15" s="11">
        <f>IFERROR(__xludf.DUMMYFUNCTION("""COMPUTED_VALUE"""),17.0)</f>
        <v>17</v>
      </c>
      <c r="F15" s="11">
        <f>IFERROR(__xludf.DUMMYFUNCTION("""COMPUTED_VALUE"""),14.0)</f>
        <v>14</v>
      </c>
      <c r="G15" s="11" t="str">
        <f>IFERROR(__xludf.DUMMYFUNCTION("""COMPUTED_VALUE"""),"2 bastard sword +3 (1d8)")</f>
        <v>2 bastard sword +3 (1d8)</v>
      </c>
      <c r="H15" s="11" t="str">
        <f>IFERROR(__xludf.DUMMYFUNCTION("""COMPUTED_VALUE"""),"near")</f>
        <v>near</v>
      </c>
      <c r="I15" s="11">
        <f>IFERROR(__xludf.DUMMYFUNCTION("""COMPUTED_VALUE"""),3.0)</f>
        <v>3</v>
      </c>
      <c r="J15" s="11">
        <f>IFERROR(__xludf.DUMMYFUNCTION("""COMPUTED_VALUE"""),0.0)</f>
        <v>0</v>
      </c>
      <c r="K15" s="11">
        <f>IFERROR(__xludf.DUMMYFUNCTION("""COMPUTED_VALUE"""),1.0)</f>
        <v>1</v>
      </c>
      <c r="L15" s="11">
        <f>IFERROR(__xludf.DUMMYFUNCTION("""COMPUTED_VALUE"""),0.0)</f>
        <v>0</v>
      </c>
      <c r="M15" s="11">
        <f>IFERROR(__xludf.DUMMYFUNCTION("""COMPUTED_VALUE"""),0.0)</f>
        <v>0</v>
      </c>
      <c r="N15" s="11">
        <f>IFERROR(__xludf.DUMMYFUNCTION("""COMPUTED_VALUE"""),1.0)</f>
        <v>1</v>
      </c>
      <c r="O15" s="11" t="str">
        <f>IFERROR(__xludf.DUMMYFUNCTION("""COMPUTED_VALUE"""),"L")</f>
        <v>L</v>
      </c>
      <c r="P15" s="13">
        <f>IFERROR(__xludf.DUMMYFUNCTION("""COMPUTED_VALUE"""),3.0)</f>
        <v>3</v>
      </c>
      <c r="Q15" s="11" t="str">
        <f>IFERROR(__xludf.DUMMYFUNCTION("""COMPUTED_VALUE"""),"Oath. 3/day, ADV on a roll made in service of knight's order.")</f>
        <v>Oath. 3/day, ADV on a roll made in service of knight's order.</v>
      </c>
      <c r="R15" s="11"/>
      <c r="S15" s="11"/>
      <c r="T15" s="11"/>
      <c r="U15" s="11"/>
      <c r="V15" s="11"/>
      <c r="W15" s="11"/>
      <c r="X15" s="11"/>
      <c r="Y15" s="11"/>
      <c r="Z15" s="11"/>
      <c r="AA15" s="11"/>
      <c r="AB15" s="11"/>
    </row>
    <row r="16" ht="15.75" customHeight="1">
      <c r="A16" s="11" t="str">
        <f>IFERROR(__xludf.DUMMYFUNCTION("""COMPUTED_VALUE"""),"Kobold, Sorcerer")</f>
        <v>Kobold, Sorcerer</v>
      </c>
      <c r="B16" s="12">
        <f>IFERROR(__xludf.DUMMYFUNCTION("""COMPUTED_VALUE"""),2.0)</f>
        <v>2</v>
      </c>
      <c r="C16" s="11" t="str">
        <f>IFERROR(__xludf.DUMMYFUNCTION("""COMPUTED_VALUE"""),"CR")</f>
        <v>CR</v>
      </c>
      <c r="D16" s="11" t="str">
        <f>IFERROR(__xludf.DUMMYFUNCTION("""COMPUTED_VALUE"""),"A scaly dog-lizard painted with colorful stripes and rattling a hefty leg bone strung with beads and feathers.")</f>
        <v>A scaly dog-lizard painted with colorful stripes and rattling a hefty leg bone strung with beads and feathers.</v>
      </c>
      <c r="E16" s="11">
        <f>IFERROR(__xludf.DUMMYFUNCTION("""COMPUTED_VALUE"""),13.0)</f>
        <v>13</v>
      </c>
      <c r="F16" s="11">
        <f>IFERROR(__xludf.DUMMYFUNCTION("""COMPUTED_VALUE"""),13.0)</f>
        <v>13</v>
      </c>
      <c r="G16" s="11" t="str">
        <f>IFERROR(__xludf.DUMMYFUNCTION("""COMPUTED_VALUE"""),"1 club +1 (1d4) or 1 spell +2")</f>
        <v>1 club +1 (1d4) or 1 spell +2</v>
      </c>
      <c r="H16" s="11" t="str">
        <f>IFERROR(__xludf.DUMMYFUNCTION("""COMPUTED_VALUE"""),"near")</f>
        <v>near</v>
      </c>
      <c r="I16" s="11">
        <f>IFERROR(__xludf.DUMMYFUNCTION("""COMPUTED_VALUE"""),-2.0)</f>
        <v>-2</v>
      </c>
      <c r="J16" s="11">
        <f>IFERROR(__xludf.DUMMYFUNCTION("""COMPUTED_VALUE"""),2.0)</f>
        <v>2</v>
      </c>
      <c r="K16" s="11">
        <f>IFERROR(__xludf.DUMMYFUNCTION("""COMPUTED_VALUE"""),0.0)</f>
        <v>0</v>
      </c>
      <c r="L16" s="11">
        <f>IFERROR(__xludf.DUMMYFUNCTION("""COMPUTED_VALUE"""),-1.0)</f>
        <v>-1</v>
      </c>
      <c r="M16" s="11">
        <f>IFERROR(__xludf.DUMMYFUNCTION("""COMPUTED_VALUE"""),1.0)</f>
        <v>1</v>
      </c>
      <c r="N16" s="11">
        <f>IFERROR(__xludf.DUMMYFUNCTION("""COMPUTED_VALUE"""),2.0)</f>
        <v>2</v>
      </c>
      <c r="O16" s="11" t="str">
        <f>IFERROR(__xludf.DUMMYFUNCTION("""COMPUTED_VALUE"""),"C")</f>
        <v>C</v>
      </c>
      <c r="P16" s="13">
        <f>IFERROR(__xludf.DUMMYFUNCTION("""COMPUTED_VALUE"""),3.0)</f>
        <v>3</v>
      </c>
      <c r="Q16" s="11" t="str">
        <f>IFERROR(__xludf.DUMMYFUNCTION("""COMPUTED_VALUE"""),"Dodge. 1/day, an attack that would hit misses instead.")</f>
        <v>Dodge. 1/day, an attack that would hit misses instead.</v>
      </c>
      <c r="R16" s="11" t="str">
        <f>IFERROR(__xludf.DUMMYFUNCTION("""COMPUTED_VALUE"""),"Scorpion Sting (CHA Spell). DC 11. Near range, one target. 1d6 damage and target has DISADV on next attack roll or check.")</f>
        <v>Scorpion Sting (CHA Spell). DC 11. Near range, one target. 1d6 damage and target has DISADV on next attack roll or check.</v>
      </c>
      <c r="S16" s="11" t="str">
        <f>IFERROR(__xludf.DUMMYFUNCTION("""COMPUTED_VALUE"""),"Spider Swarm (CHA Spell). DC 12. A spider swarm appears within near. Stays 1d4 rounds. Follows sorcerer's commands.")</f>
        <v>Spider Swarm (CHA Spell). DC 12. A spider swarm appears within near. Stays 1d4 rounds. Follows sorcerer's commands.</v>
      </c>
      <c r="T16" s="11"/>
      <c r="U16" s="11"/>
      <c r="V16" s="11"/>
      <c r="W16" s="11"/>
      <c r="X16" s="11"/>
      <c r="Y16" s="11"/>
      <c r="Z16" s="11"/>
      <c r="AA16" s="11"/>
      <c r="AB16" s="11"/>
    </row>
    <row r="17" ht="15.75" customHeight="1">
      <c r="A17" s="11" t="str">
        <f>IFERROR(__xludf.DUMMYFUNCTION("""COMPUTED_VALUE"""),"Lion")</f>
        <v>Lion</v>
      </c>
      <c r="B17" s="12">
        <f>IFERROR(__xludf.DUMMYFUNCTION("""COMPUTED_VALUE"""),1.0)</f>
        <v>1</v>
      </c>
      <c r="C17" s="11" t="str">
        <f>IFERROR(__xludf.DUMMYFUNCTION("""COMPUTED_VALUE"""),"CR")</f>
        <v>CR</v>
      </c>
      <c r="D17" s="11" t="str">
        <f>IFERROR(__xludf.DUMMYFUNCTION("""COMPUTED_VALUE"""),"Tawny great cats that hunt open planes. Males have manes.")</f>
        <v>Tawny great cats that hunt open planes. Males have manes.</v>
      </c>
      <c r="E17" s="11">
        <f>IFERROR(__xludf.DUMMYFUNCTION("""COMPUTED_VALUE"""),12.0)</f>
        <v>12</v>
      </c>
      <c r="F17" s="11">
        <f>IFERROR(__xludf.DUMMYFUNCTION("""COMPUTED_VALUE"""),15.0)</f>
        <v>15</v>
      </c>
      <c r="G17" s="11" t="str">
        <f>IFERROR(__xludf.DUMMYFUNCTION("""COMPUTED_VALUE"""),"2 rend +4 (1d8)")</f>
        <v>2 rend +4 (1d8)</v>
      </c>
      <c r="H17" s="11" t="str">
        <f>IFERROR(__xludf.DUMMYFUNCTION("""COMPUTED_VALUE"""),"near")</f>
        <v>near</v>
      </c>
      <c r="I17" s="11">
        <f>IFERROR(__xludf.DUMMYFUNCTION("""COMPUTED_VALUE"""),4.0)</f>
        <v>4</v>
      </c>
      <c r="J17" s="11">
        <f>IFERROR(__xludf.DUMMYFUNCTION("""COMPUTED_VALUE"""),2.0)</f>
        <v>2</v>
      </c>
      <c r="K17" s="11">
        <f>IFERROR(__xludf.DUMMYFUNCTION("""COMPUTED_VALUE"""),2.0)</f>
        <v>2</v>
      </c>
      <c r="L17" s="11">
        <f>IFERROR(__xludf.DUMMYFUNCTION("""COMPUTED_VALUE"""),-3.0)</f>
        <v>-3</v>
      </c>
      <c r="M17" s="11">
        <f>IFERROR(__xludf.DUMMYFUNCTION("""COMPUTED_VALUE"""),1.0)</f>
        <v>1</v>
      </c>
      <c r="N17" s="11">
        <f>IFERROR(__xludf.DUMMYFUNCTION("""COMPUTED_VALUE"""),-3.0)</f>
        <v>-3</v>
      </c>
      <c r="O17" s="11" t="str">
        <f>IFERROR(__xludf.DUMMYFUNCTION("""COMPUTED_VALUE"""),"N")</f>
        <v>N</v>
      </c>
      <c r="P17" s="13">
        <f>IFERROR(__xludf.DUMMYFUNCTION("""COMPUTED_VALUE"""),3.0)</f>
        <v>3</v>
      </c>
      <c r="Q17" s="11"/>
      <c r="R17" s="11"/>
      <c r="S17" s="11"/>
      <c r="T17" s="11"/>
      <c r="U17" s="11"/>
      <c r="V17" s="11"/>
      <c r="W17" s="11"/>
      <c r="X17" s="11"/>
      <c r="Y17" s="11"/>
      <c r="Z17" s="11"/>
      <c r="AA17" s="11"/>
      <c r="AB17" s="11"/>
    </row>
    <row r="18" ht="15.75" customHeight="1">
      <c r="A18" s="11" t="str">
        <f>IFERROR(__xludf.DUMMYFUNCTION("""COMPUTED_VALUE"""),"Mushroomfolk")</f>
        <v>Mushroomfolk</v>
      </c>
      <c r="B18" s="12" t="str">
        <f>IFERROR(__xludf.DUMMYFUNCTION("""COMPUTED_VALUE"""),"")</f>
        <v/>
      </c>
      <c r="C18" s="11" t="str">
        <f>IFERROR(__xludf.DUMMYFUNCTION("""COMPUTED_VALUE"""),"CR")</f>
        <v>CR</v>
      </c>
      <c r="D18" s="11" t="str">
        <f>IFERROR(__xludf.DUMMYFUNCTION("""COMPUTED_VALUE"""),"Lumbering humanoids with spongy, elongated bodies.")</f>
        <v>Lumbering humanoids with spongy, elongated bodies.</v>
      </c>
      <c r="E18" s="11">
        <f>IFERROR(__xludf.DUMMYFUNCTION("""COMPUTED_VALUE"""),13.0)</f>
        <v>13</v>
      </c>
      <c r="F18" s="11">
        <f>IFERROR(__xludf.DUMMYFUNCTION("""COMPUTED_VALUE"""),15.0)</f>
        <v>15</v>
      </c>
      <c r="G18" s="11" t="str">
        <f>IFERROR(__xludf.DUMMYFUNCTION("""COMPUTED_VALUE"""),"2 slam +2 (1d6)")</f>
        <v>2 slam +2 (1d6)</v>
      </c>
      <c r="H18" s="11" t="str">
        <f>IFERROR(__xludf.DUMMYFUNCTION("""COMPUTED_VALUE"""),"near (swim)")</f>
        <v>near (swim)</v>
      </c>
      <c r="I18" s="11">
        <f>IFERROR(__xludf.DUMMYFUNCTION("""COMPUTED_VALUE"""),2.0)</f>
        <v>2</v>
      </c>
      <c r="J18" s="11">
        <f>IFERROR(__xludf.DUMMYFUNCTION("""COMPUTED_VALUE"""),-1.0)</f>
        <v>-1</v>
      </c>
      <c r="K18" s="11">
        <f>IFERROR(__xludf.DUMMYFUNCTION("""COMPUTED_VALUE"""),2.0)</f>
        <v>2</v>
      </c>
      <c r="L18" s="11">
        <f>IFERROR(__xludf.DUMMYFUNCTION("""COMPUTED_VALUE"""),0.0)</f>
        <v>0</v>
      </c>
      <c r="M18" s="11">
        <f>IFERROR(__xludf.DUMMYFUNCTION("""COMPUTED_VALUE"""),1.0)</f>
        <v>1</v>
      </c>
      <c r="N18" s="11">
        <f>IFERROR(__xludf.DUMMYFUNCTION("""COMPUTED_VALUE"""),0.0)</f>
        <v>0</v>
      </c>
      <c r="O18" s="11" t="str">
        <f>IFERROR(__xludf.DUMMYFUNCTION("""COMPUTED_VALUE"""),"N")</f>
        <v>N</v>
      </c>
      <c r="P18" s="13">
        <f>IFERROR(__xludf.DUMMYFUNCTION("""COMPUTED_VALUE"""),3.0)</f>
        <v>3</v>
      </c>
      <c r="Q18" s="11" t="str">
        <f>IFERROR(__xludf.DUMMYFUNCTION("""COMPUTED_VALUE"""),"Sunblind. Blinded in bright light.")</f>
        <v>Sunblind. Blinded in bright light.</v>
      </c>
      <c r="R18" s="11" t="str">
        <f>IFERROR(__xludf.DUMMYFUNCTION("""COMPUTED_VALUE"""),"Telepathic. Speak mentally with creatures within double near.")</f>
        <v>Telepathic. Speak mentally with creatures within double near.</v>
      </c>
      <c r="S18" s="11"/>
      <c r="T18" s="11"/>
      <c r="U18" s="11"/>
      <c r="V18" s="11"/>
      <c r="W18" s="11"/>
      <c r="X18" s="11"/>
      <c r="Y18" s="11"/>
      <c r="Z18" s="11"/>
      <c r="AA18" s="11"/>
      <c r="AB18" s="11"/>
    </row>
    <row r="19" ht="15.75" customHeight="1">
      <c r="A19" s="11" t="str">
        <f>IFERROR(__xludf.DUMMYFUNCTION("""COMPUTED_VALUE"""),"Panther")</f>
        <v>Panther</v>
      </c>
      <c r="B19" s="12">
        <f>IFERROR(__xludf.DUMMYFUNCTION("""COMPUTED_VALUE"""),0.25)</f>
        <v>0.25</v>
      </c>
      <c r="C19" s="11" t="str">
        <f>IFERROR(__xludf.DUMMYFUNCTION("""COMPUTED_VALUE"""),"CR")</f>
        <v>CR</v>
      </c>
      <c r="D19" s="11" t="str">
        <f>IFERROR(__xludf.DUMMYFUNCTION("""COMPUTED_VALUE"""),"Supple large cats with blue-black fur. Stealthy hunters.")</f>
        <v>Supple large cats with blue-black fur. Stealthy hunters.</v>
      </c>
      <c r="E19" s="11">
        <f>IFERROR(__xludf.DUMMYFUNCTION("""COMPUTED_VALUE"""),14.0)</f>
        <v>14</v>
      </c>
      <c r="F19" s="11">
        <f>IFERROR(__xludf.DUMMYFUNCTION("""COMPUTED_VALUE"""),3.0)</f>
        <v>3</v>
      </c>
      <c r="G19" s="11" t="str">
        <f>IFERROR(__xludf.DUMMYFUNCTION("""COMPUTED_VALUE"""),"2 rend +3 (1d6)")</f>
        <v>2 rend +3 (1d6)</v>
      </c>
      <c r="H19" s="11" t="str">
        <f>IFERROR(__xludf.DUMMYFUNCTION("""COMPUTED_VALUE"""),"near (climb) S +3")</f>
        <v>near (climb) S +3</v>
      </c>
      <c r="I19" s="11">
        <f>IFERROR(__xludf.DUMMYFUNCTION("""COMPUTED_VALUE"""),3.0)</f>
        <v>3</v>
      </c>
      <c r="J19" s="11">
        <f>IFERROR(__xludf.DUMMYFUNCTION("""COMPUTED_VALUE"""),4.0)</f>
        <v>4</v>
      </c>
      <c r="K19" s="11">
        <f>IFERROR(__xludf.DUMMYFUNCTION("""COMPUTED_VALUE"""),1.0)</f>
        <v>1</v>
      </c>
      <c r="L19" s="11">
        <f>IFERROR(__xludf.DUMMYFUNCTION("""COMPUTED_VALUE"""),-2.0)</f>
        <v>-2</v>
      </c>
      <c r="M19" s="11">
        <f>IFERROR(__xludf.DUMMYFUNCTION("""COMPUTED_VALUE"""),1.0)</f>
        <v>1</v>
      </c>
      <c r="N19" s="11">
        <f>IFERROR(__xludf.DUMMYFUNCTION("""COMPUTED_VALUE"""),-3.0)</f>
        <v>-3</v>
      </c>
      <c r="O19" s="11" t="str">
        <f>IFERROR(__xludf.DUMMYFUNCTION("""COMPUTED_VALUE"""),"N")</f>
        <v>N</v>
      </c>
      <c r="P19" s="13">
        <f>IFERROR(__xludf.DUMMYFUNCTION("""COMPUTED_VALUE"""),3.0)</f>
        <v>3</v>
      </c>
      <c r="Q19" s="11"/>
      <c r="R19" s="11"/>
      <c r="S19" s="11"/>
      <c r="T19" s="11"/>
      <c r="U19" s="11"/>
      <c r="V19" s="11"/>
      <c r="W19" s="11"/>
      <c r="X19" s="11"/>
      <c r="Y19" s="11"/>
      <c r="Z19" s="11"/>
      <c r="AA19" s="11"/>
      <c r="AB19" s="11"/>
    </row>
    <row r="20" ht="15.75" customHeight="1">
      <c r="A20" s="11" t="str">
        <f>IFERROR(__xludf.DUMMYFUNCTION("""COMPUTED_VALUE"""),"Pegasus")</f>
        <v>Pegasus</v>
      </c>
      <c r="B20" s="12">
        <f>IFERROR(__xludf.DUMMYFUNCTION("""COMPUTED_VALUE"""),2.0)</f>
        <v>2</v>
      </c>
      <c r="C20" s="11" t="str">
        <f>IFERROR(__xludf.DUMMYFUNCTION("""COMPUTED_VALUE"""),"CR")</f>
        <v>CR</v>
      </c>
      <c r="D20" s="11" t="str">
        <f>IFERROR(__xludf.DUMMYFUNCTION("""COMPUTED_VALUE"""),"Winged horses with noble bearings and pearly white coats.")</f>
        <v>Winged horses with noble bearings and pearly white coats.</v>
      </c>
      <c r="E20" s="11">
        <f>IFERROR(__xludf.DUMMYFUNCTION("""COMPUTED_VALUE"""),12.0)</f>
        <v>12</v>
      </c>
      <c r="F20" s="11">
        <f>IFERROR(__xludf.DUMMYFUNCTION("""COMPUTED_VALUE"""),15.0)</f>
        <v>15</v>
      </c>
      <c r="G20" s="11" t="str">
        <f>IFERROR(__xludf.DUMMYFUNCTION("""COMPUTED_VALUE"""),"2 hooves +3 (1d6)")</f>
        <v>2 hooves +3 (1d6)</v>
      </c>
      <c r="H20" s="11" t="str">
        <f>IFERROR(__xludf.DUMMYFUNCTION("""COMPUTED_VALUE"""),"double near (fly) S +3")</f>
        <v>double near (fly) S +3</v>
      </c>
      <c r="I20" s="11">
        <f>IFERROR(__xludf.DUMMYFUNCTION("""COMPUTED_VALUE"""),3.0)</f>
        <v>3</v>
      </c>
      <c r="J20" s="11">
        <f>IFERROR(__xludf.DUMMYFUNCTION("""COMPUTED_VALUE"""),2.0)</f>
        <v>2</v>
      </c>
      <c r="K20" s="11">
        <f>IFERROR(__xludf.DUMMYFUNCTION("""COMPUTED_VALUE"""),2.0)</f>
        <v>2</v>
      </c>
      <c r="L20" s="11">
        <f>IFERROR(__xludf.DUMMYFUNCTION("""COMPUTED_VALUE"""),-3.0)</f>
        <v>-3</v>
      </c>
      <c r="M20" s="11">
        <f>IFERROR(__xludf.DUMMYFUNCTION("""COMPUTED_VALUE"""),1.0)</f>
        <v>1</v>
      </c>
      <c r="N20" s="11">
        <f>IFERROR(__xludf.DUMMYFUNCTION("""COMPUTED_VALUE"""),0.0)</f>
        <v>0</v>
      </c>
      <c r="O20" s="11" t="str">
        <f>IFERROR(__xludf.DUMMYFUNCTION("""COMPUTED_VALUE"""),"N")</f>
        <v>N</v>
      </c>
      <c r="P20" s="13">
        <f>IFERROR(__xludf.DUMMYFUNCTION("""COMPUTED_VALUE"""),3.0)</f>
        <v>3</v>
      </c>
      <c r="Q20" s="11"/>
      <c r="R20" s="11"/>
      <c r="S20" s="11"/>
      <c r="T20" s="11"/>
      <c r="U20" s="11"/>
      <c r="V20" s="11"/>
      <c r="W20" s="11"/>
      <c r="X20" s="11"/>
      <c r="Y20" s="11"/>
      <c r="Z20" s="11"/>
      <c r="AA20" s="11"/>
      <c r="AB20" s="11"/>
    </row>
    <row r="21" ht="15.75" customHeight="1">
      <c r="A21" s="11" t="str">
        <f>IFERROR(__xludf.DUMMYFUNCTION("""COMPUTED_VALUE"""),"Piranha, Swarm")</f>
        <v>Piranha, Swarm</v>
      </c>
      <c r="B21" s="12" t="str">
        <f>IFERROR(__xludf.DUMMYFUNCTION("""COMPUTED_VALUE"""),"")</f>
        <v/>
      </c>
      <c r="C21" s="11" t="str">
        <f>IFERROR(__xludf.DUMMYFUNCTION("""COMPUTED_VALUE"""),"CR")</f>
        <v>CR</v>
      </c>
      <c r="D21" s="11" t="str">
        <f>IFERROR(__xludf.DUMMYFUNCTION("""COMPUTED_VALUE"""),"A school of flat, silvery fish with vicious fangs.")</f>
        <v>A school of flat, silvery fish with vicious fangs.</v>
      </c>
      <c r="E21" s="11">
        <f>IFERROR(__xludf.DUMMYFUNCTION("""COMPUTED_VALUE"""),12.0)</f>
        <v>12</v>
      </c>
      <c r="F21" s="11">
        <f>IFERROR(__xludf.DUMMYFUNCTION("""COMPUTED_VALUE"""),13.0)</f>
        <v>13</v>
      </c>
      <c r="G21" s="11" t="str">
        <f>IFERROR(__xludf.DUMMYFUNCTION("""COMPUTED_VALUE"""),"2 bite +2 (1d6)")</f>
        <v>2 bite +2 (1d6)</v>
      </c>
      <c r="H21" s="11" t="str">
        <f>IFERROR(__xludf.DUMMYFUNCTION("""COMPUTED_VALUE"""),"near (swim)")</f>
        <v>near (swim)</v>
      </c>
      <c r="I21" s="11">
        <f>IFERROR(__xludf.DUMMYFUNCTION("""COMPUTED_VALUE"""),-2.0)</f>
        <v>-2</v>
      </c>
      <c r="J21" s="11">
        <f>IFERROR(__xludf.DUMMYFUNCTION("""COMPUTED_VALUE"""),2.0)</f>
        <v>2</v>
      </c>
      <c r="K21" s="11">
        <f>IFERROR(__xludf.DUMMYFUNCTION("""COMPUTED_VALUE"""),0.0)</f>
        <v>0</v>
      </c>
      <c r="L21" s="11">
        <f>IFERROR(__xludf.DUMMYFUNCTION("""COMPUTED_VALUE"""),-3.0)</f>
        <v>-3</v>
      </c>
      <c r="M21" s="11">
        <f>IFERROR(__xludf.DUMMYFUNCTION("""COMPUTED_VALUE"""),0.0)</f>
        <v>0</v>
      </c>
      <c r="N21" s="11">
        <f>IFERROR(__xludf.DUMMYFUNCTION("""COMPUTED_VALUE"""),-3.0)</f>
        <v>-3</v>
      </c>
      <c r="O21" s="11" t="str">
        <f>IFERROR(__xludf.DUMMYFUNCTION("""COMPUTED_VALUE"""),"N")</f>
        <v>N</v>
      </c>
      <c r="P21" s="13">
        <f>IFERROR(__xludf.DUMMYFUNCTION("""COMPUTED_VALUE"""),3.0)</f>
        <v>3</v>
      </c>
      <c r="Q21" s="11" t="str">
        <f>IFERROR(__xludf.DUMMYFUNCTION("""COMPUTED_VALUE"""),"Savage. ADV on attacks against creatures below half their HP.")</f>
        <v>Savage. ADV on attacks against creatures below half their HP.</v>
      </c>
      <c r="R21" s="11"/>
      <c r="S21" s="11"/>
      <c r="T21" s="11"/>
      <c r="U21" s="11"/>
      <c r="V21" s="11"/>
      <c r="W21" s="11"/>
      <c r="X21" s="11"/>
      <c r="Y21" s="11"/>
      <c r="Z21" s="11"/>
      <c r="AA21" s="11"/>
      <c r="AB21" s="11"/>
    </row>
    <row r="22" ht="15.75" customHeight="1">
      <c r="A22" s="11" t="str">
        <f>IFERROR(__xludf.DUMMYFUNCTION("""COMPUTED_VALUE"""),"Scarab, Swarm")</f>
        <v>Scarab, Swarm</v>
      </c>
      <c r="B22" s="12" t="str">
        <f>IFERROR(__xludf.DUMMYFUNCTION("""COMPUTED_VALUE"""),"")</f>
        <v/>
      </c>
      <c r="C22" s="11" t="str">
        <f>IFERROR(__xludf.DUMMYFUNCTION("""COMPUTED_VALUE"""),"CR")</f>
        <v>CR</v>
      </c>
      <c r="D22" s="11" t="str">
        <f>IFERROR(__xludf.DUMMYFUNCTION("""COMPUTED_VALUE"""),"A chittering cloud of iridescent, oval-shaped beetles.")</f>
        <v>A chittering cloud of iridescent, oval-shaped beetles.</v>
      </c>
      <c r="E22" s="11">
        <f>IFERROR(__xludf.DUMMYFUNCTION("""COMPUTED_VALUE"""),13.0)</f>
        <v>13</v>
      </c>
      <c r="F22" s="11">
        <f>IFERROR(__xludf.DUMMYFUNCTION("""COMPUTED_VALUE"""),14.0)</f>
        <v>14</v>
      </c>
      <c r="G22" s="11" t="str">
        <f>IFERROR(__xludf.DUMMYFUNCTION("""COMPUTED_VALUE"""),"2 bite +3 (1d6)")</f>
        <v>2 bite +3 (1d6)</v>
      </c>
      <c r="H22" s="11" t="str">
        <f>IFERROR(__xludf.DUMMYFUNCTION("""COMPUTED_VALUE"""),"near (fly)")</f>
        <v>near (fly)</v>
      </c>
      <c r="I22" s="11">
        <f>IFERROR(__xludf.DUMMYFUNCTION("""COMPUTED_VALUE"""),-1.0)</f>
        <v>-1</v>
      </c>
      <c r="J22" s="11">
        <f>IFERROR(__xludf.DUMMYFUNCTION("""COMPUTED_VALUE"""),3.0)</f>
        <v>3</v>
      </c>
      <c r="K22" s="11">
        <f>IFERROR(__xludf.DUMMYFUNCTION("""COMPUTED_VALUE"""),1.0)</f>
        <v>1</v>
      </c>
      <c r="L22" s="11">
        <f>IFERROR(__xludf.DUMMYFUNCTION("""COMPUTED_VALUE"""),-3.0)</f>
        <v>-3</v>
      </c>
      <c r="M22" s="11">
        <f>IFERROR(__xludf.DUMMYFUNCTION("""COMPUTED_VALUE"""),0.0)</f>
        <v>0</v>
      </c>
      <c r="N22" s="11">
        <f>IFERROR(__xludf.DUMMYFUNCTION("""COMPUTED_VALUE"""),-3.0)</f>
        <v>-3</v>
      </c>
      <c r="O22" s="11" t="str">
        <f>IFERROR(__xludf.DUMMYFUNCTION("""COMPUTED_VALUE"""),"N")</f>
        <v>N</v>
      </c>
      <c r="P22" s="13">
        <f>IFERROR(__xludf.DUMMYFUNCTION("""COMPUTED_VALUE"""),3.0)</f>
        <v>3</v>
      </c>
      <c r="Q22" s="11"/>
      <c r="R22" s="11"/>
      <c r="S22" s="11"/>
      <c r="T22" s="11"/>
      <c r="U22" s="11"/>
      <c r="V22" s="11"/>
      <c r="W22" s="11"/>
      <c r="X22" s="11"/>
      <c r="Y22" s="11"/>
      <c r="Z22" s="11"/>
      <c r="AA22" s="11"/>
      <c r="AB22" s="11"/>
    </row>
    <row r="23" ht="15.75" customHeight="1">
      <c r="A23" s="11" t="str">
        <f>IFERROR(__xludf.DUMMYFUNCTION("""COMPUTED_VALUE"""),"Scarecrow")</f>
        <v>Scarecrow</v>
      </c>
      <c r="B23" s="12">
        <f>IFERROR(__xludf.DUMMYFUNCTION("""COMPUTED_VALUE"""),1.0)</f>
        <v>1</v>
      </c>
      <c r="C23" s="11" t="str">
        <f>IFERROR(__xludf.DUMMYFUNCTION("""COMPUTED_VALUE"""),"CR")</f>
        <v>CR</v>
      </c>
      <c r="D23" s="11" t="str">
        <f>IFERROR(__xludf.DUMMYFUNCTION("""COMPUTED_VALUE"""),"Ragged clothes and a painted burlap head stuffed with straw. Possessed by a malicious spirit.")</f>
        <v>Ragged clothes and a painted burlap head stuffed with straw. Possessed by a malicious spirit.</v>
      </c>
      <c r="E23" s="11">
        <f>IFERROR(__xludf.DUMMYFUNCTION("""COMPUTED_VALUE"""),12.0)</f>
        <v>12</v>
      </c>
      <c r="F23" s="11">
        <f>IFERROR(__xludf.DUMMYFUNCTION("""COMPUTED_VALUE"""),15.0)</f>
        <v>15</v>
      </c>
      <c r="G23" s="11" t="str">
        <f>IFERROR(__xludf.DUMMYFUNCTION("""COMPUTED_VALUE"""),"2 claws +2 (1d6) or 1 scream")</f>
        <v>2 claws +2 (1d6) or 1 scream</v>
      </c>
      <c r="H23" s="11" t="str">
        <f>IFERROR(__xludf.DUMMYFUNCTION("""COMPUTED_VALUE"""),"near")</f>
        <v>near</v>
      </c>
      <c r="I23" s="11">
        <f>IFERROR(__xludf.DUMMYFUNCTION("""COMPUTED_VALUE"""),2.0)</f>
        <v>2</v>
      </c>
      <c r="J23" s="11">
        <f>IFERROR(__xludf.DUMMYFUNCTION("""COMPUTED_VALUE"""),2.0)</f>
        <v>2</v>
      </c>
      <c r="K23" s="11">
        <f>IFERROR(__xludf.DUMMYFUNCTION("""COMPUTED_VALUE"""),2.0)</f>
        <v>2</v>
      </c>
      <c r="L23" s="11">
        <f>IFERROR(__xludf.DUMMYFUNCTION("""COMPUTED_VALUE"""),0.0)</f>
        <v>0</v>
      </c>
      <c r="M23" s="11">
        <f>IFERROR(__xludf.DUMMYFUNCTION("""COMPUTED_VALUE"""),0.0)</f>
        <v>0</v>
      </c>
      <c r="N23" s="11">
        <f>IFERROR(__xludf.DUMMYFUNCTION("""COMPUTED_VALUE"""),2.0)</f>
        <v>2</v>
      </c>
      <c r="O23" s="11" t="str">
        <f>IFERROR(__xludf.DUMMYFUNCTION("""COMPUTED_VALUE"""),"C")</f>
        <v>C</v>
      </c>
      <c r="P23" s="13">
        <f>IFERROR(__xludf.DUMMYFUNCTION("""COMPUTED_VALUE"""),3.0)</f>
        <v>3</v>
      </c>
      <c r="Q23" s="11" t="str">
        <f>IFERROR(__xludf.DUMMYFUNCTION("""COMPUTED_VALUE"""),"Scream. Creatures who hear in double near DC 12 CHA or paralyzed for 1d4 rounds.")</f>
        <v>Scream. Creatures who hear in double near DC 12 CHA or paralyzed for 1d4 rounds.</v>
      </c>
      <c r="R23" s="11"/>
      <c r="S23" s="11"/>
      <c r="T23" s="11"/>
      <c r="U23" s="11"/>
      <c r="V23" s="11"/>
      <c r="W23" s="11"/>
      <c r="X23" s="11"/>
      <c r="Y23" s="11"/>
      <c r="Z23" s="11"/>
      <c r="AA23" s="11"/>
      <c r="AB23" s="11"/>
    </row>
    <row r="24" ht="15.75" customHeight="1">
      <c r="A24" s="11" t="str">
        <f>IFERROR(__xludf.DUMMYFUNCTION("""COMPUTED_VALUE"""),"Scorpion, Giant")</f>
        <v>Scorpion, Giant</v>
      </c>
      <c r="B24" s="12">
        <f>IFERROR(__xludf.DUMMYFUNCTION("""COMPUTED_VALUE"""),3.0)</f>
        <v>3</v>
      </c>
      <c r="C24" s="11" t="str">
        <f>IFERROR(__xludf.DUMMYFUNCTION("""COMPUTED_VALUE"""),"CR")</f>
        <v>CR</v>
      </c>
      <c r="D24" s="11" t="str">
        <f>IFERROR(__xludf.DUMMYFUNCTION("""COMPUTED_VALUE"""),"Chitin-plated scorpions as big as camels.")</f>
        <v>Chitin-plated scorpions as big as camels.</v>
      </c>
      <c r="E24" s="11">
        <f>IFERROR(__xludf.DUMMYFUNCTION("""COMPUTED_VALUE"""),14.0)</f>
        <v>14</v>
      </c>
      <c r="F24" s="11">
        <f>IFERROR(__xludf.DUMMYFUNCTION("""COMPUTED_VALUE"""),13.0)</f>
        <v>13</v>
      </c>
      <c r="G24" s="14" t="str">
        <f>IFERROR(__xludf.DUMMYFUNCTION("""COMPUTED_VALUE"""),"1 claw +2 (1d6 + grab) and 1 sting +2 (1d4 + poison)")</f>
        <v>1 claw +2 (1d6 + grab) and 1 sting +2 (1d4 + poison)</v>
      </c>
      <c r="H24" s="11" t="str">
        <f>IFERROR(__xludf.DUMMYFUNCTION("""COMPUTED_VALUE"""),"near (climb)")</f>
        <v>near (climb)</v>
      </c>
      <c r="I24" s="11">
        <f>IFERROR(__xludf.DUMMYFUNCTION("""COMPUTED_VALUE"""),2.0)</f>
        <v>2</v>
      </c>
      <c r="J24" s="11">
        <f>IFERROR(__xludf.DUMMYFUNCTION("""COMPUTED_VALUE"""),2.0)</f>
        <v>2</v>
      </c>
      <c r="K24" s="11">
        <f>IFERROR(__xludf.DUMMYFUNCTION("""COMPUTED_VALUE"""),0.0)</f>
        <v>0</v>
      </c>
      <c r="L24" s="11">
        <f>IFERROR(__xludf.DUMMYFUNCTION("""COMPUTED_VALUE"""),-4.0)</f>
        <v>-4</v>
      </c>
      <c r="M24" s="11">
        <f>IFERROR(__xludf.DUMMYFUNCTION("""COMPUTED_VALUE"""),0.0)</f>
        <v>0</v>
      </c>
      <c r="N24" s="11">
        <f>IFERROR(__xludf.DUMMYFUNCTION("""COMPUTED_VALUE"""),-4.0)</f>
        <v>-4</v>
      </c>
      <c r="O24" s="11" t="str">
        <f>IFERROR(__xludf.DUMMYFUNCTION("""COMPUTED_VALUE"""),"N")</f>
        <v>N</v>
      </c>
      <c r="P24" s="13">
        <f>IFERROR(__xludf.DUMMYFUNCTION("""COMPUTED_VALUE"""),3.0)</f>
        <v>3</v>
      </c>
      <c r="Q24" s="11" t="str">
        <f>IFERROR(__xludf.DUMMYFUNCTION("""COMPUTED_VALUE"""),"Grab. DC 12 STR or target held. DC 12 STR on turn to break free. Poison. DC 12 CON or go to 0 HP.")</f>
        <v>Grab. DC 12 STR or target held. DC 12 STR on turn to break free. Poison. DC 12 CON or go to 0 HP.</v>
      </c>
      <c r="R24" s="11"/>
      <c r="S24" s="11"/>
      <c r="T24" s="11"/>
      <c r="U24" s="11"/>
      <c r="V24" s="11"/>
      <c r="W24" s="11"/>
      <c r="X24" s="11"/>
      <c r="Y24" s="11"/>
      <c r="Z24" s="11"/>
      <c r="AA24" s="11"/>
      <c r="AB24" s="11"/>
    </row>
    <row r="25" ht="15.75" customHeight="1">
      <c r="A25" s="11" t="str">
        <f>IFERROR(__xludf.DUMMYFUNCTION("""COMPUTED_VALUE"""),"Shadow")</f>
        <v>Shadow</v>
      </c>
      <c r="B25" s="12">
        <f>IFERROR(__xludf.DUMMYFUNCTION("""COMPUTED_VALUE"""),0.5)</f>
        <v>0.5</v>
      </c>
      <c r="C25" s="11" t="str">
        <f>IFERROR(__xludf.DUMMYFUNCTION("""COMPUTED_VALUE"""),"CR")</f>
        <v>CR</v>
      </c>
      <c r="D25" s="11" t="str">
        <f>IFERROR(__xludf.DUMMYFUNCTION("""COMPUTED_VALUE"""),"Flitting, sentient shadows in the vague shape of a human.")</f>
        <v>Flitting, sentient shadows in the vague shape of a human.</v>
      </c>
      <c r="E25" s="11">
        <f>IFERROR(__xludf.DUMMYFUNCTION("""COMPUTED_VALUE"""),12.0)</f>
        <v>12</v>
      </c>
      <c r="F25" s="11">
        <f>IFERROR(__xludf.DUMMYFUNCTION("""COMPUTED_VALUE"""),15.0)</f>
        <v>15</v>
      </c>
      <c r="G25" s="11" t="str">
        <f>IFERROR(__xludf.DUMMYFUNCTION("""COMPUTED_VALUE"""),"2 touch +2 (1d4 + drain)")</f>
        <v>2 touch +2 (1d4 + drain)</v>
      </c>
      <c r="H25" s="11" t="str">
        <f>IFERROR(__xludf.DUMMYFUNCTION("""COMPUTED_VALUE"""),"near (fly)")</f>
        <v>near (fly)</v>
      </c>
      <c r="I25" s="11">
        <f>IFERROR(__xludf.DUMMYFUNCTION("""COMPUTED_VALUE"""),-4.0)</f>
        <v>-4</v>
      </c>
      <c r="J25" s="11">
        <f>IFERROR(__xludf.DUMMYFUNCTION("""COMPUTED_VALUE"""),2.0)</f>
        <v>2</v>
      </c>
      <c r="K25" s="11">
        <f>IFERROR(__xludf.DUMMYFUNCTION("""COMPUTED_VALUE"""),2.0)</f>
        <v>2</v>
      </c>
      <c r="L25" s="11">
        <f>IFERROR(__xludf.DUMMYFUNCTION("""COMPUTED_VALUE"""),-2.0)</f>
        <v>-2</v>
      </c>
      <c r="M25" s="11">
        <f>IFERROR(__xludf.DUMMYFUNCTION("""COMPUTED_VALUE"""),0.0)</f>
        <v>0</v>
      </c>
      <c r="N25" s="11">
        <f>IFERROR(__xludf.DUMMYFUNCTION("""COMPUTED_VALUE"""),-1.0)</f>
        <v>-1</v>
      </c>
      <c r="O25" s="11" t="str">
        <f>IFERROR(__xludf.DUMMYFUNCTION("""COMPUTED_VALUE"""),"C")</f>
        <v>C</v>
      </c>
      <c r="P25" s="13">
        <f>IFERROR(__xludf.DUMMYFUNCTION("""COMPUTED_VALUE"""),3.0)</f>
        <v>3</v>
      </c>
      <c r="Q25" s="11" t="str">
        <f>IFERROR(__xludf.DUMMYFUNCTION("""COMPUTED_VALUE"""),"Drain. DC 12 CON or target's STR reduced by 1. At 0 STR, target dies and becomes a shadow.")</f>
        <v>Drain. DC 12 CON or target's STR reduced by 1. At 0 STR, target dies and becomes a shadow.</v>
      </c>
      <c r="R25" s="11"/>
      <c r="S25" s="11"/>
      <c r="T25" s="11"/>
      <c r="U25" s="11"/>
      <c r="V25" s="11"/>
      <c r="W25" s="11"/>
      <c r="X25" s="11"/>
      <c r="Y25" s="11"/>
      <c r="Z25" s="11"/>
      <c r="AA25" s="11"/>
      <c r="AB25" s="11"/>
    </row>
    <row r="26" ht="15.75" customHeight="1">
      <c r="A26" s="11" t="str">
        <f>IFERROR(__xludf.DUMMYFUNCTION("""COMPUTED_VALUE"""),"Shark")</f>
        <v>Shark</v>
      </c>
      <c r="B26" s="12">
        <f>IFERROR(__xludf.DUMMYFUNCTION("""COMPUTED_VALUE"""),5.0)</f>
        <v>5</v>
      </c>
      <c r="C26" s="11" t="str">
        <f>IFERROR(__xludf.DUMMYFUNCTION("""COMPUTED_VALUE"""),"CR")</f>
        <v>CR</v>
      </c>
      <c r="D26" s="11" t="str">
        <f>IFERROR(__xludf.DUMMYFUNCTION("""COMPUTED_VALUE"""),"Bloodthirsty apex predators of the sea. Gray, torpedo-like body.")</f>
        <v>Bloodthirsty apex predators of the sea. Gray, torpedo-like body.</v>
      </c>
      <c r="E26" s="11">
        <f>IFERROR(__xludf.DUMMYFUNCTION("""COMPUTED_VALUE"""),11.0)</f>
        <v>11</v>
      </c>
      <c r="F26" s="11" t="str">
        <f>IFERROR(__xludf.DUMMYFUNCTION("""COMPUTED_VALUE"""),"15")</f>
        <v>15</v>
      </c>
      <c r="G26" s="11" t="str">
        <f>IFERROR(__xludf.DUMMYFUNCTION("""COMPUTED_VALUE"""),"1 bite +3 (1d10)")</f>
        <v>1 bite +3 (1d10)</v>
      </c>
      <c r="H26" s="11" t="str">
        <f>IFERROR(__xludf.DUMMYFUNCTION("""COMPUTED_VALUE"""),"near (swim)")</f>
        <v>near (swim)</v>
      </c>
      <c r="I26" s="11" t="str">
        <f>IFERROR(__xludf.DUMMYFUNCTION("""COMPUTED_VALUE"""),"3")</f>
        <v>3</v>
      </c>
      <c r="J26" s="11" t="str">
        <f>IFERROR(__xludf.DUMMYFUNCTION("""COMPUTED_VALUE"""),"1")</f>
        <v>1</v>
      </c>
      <c r="K26" s="11" t="str">
        <f>IFERROR(__xludf.DUMMYFUNCTION("""COMPUTED_VALUE"""),"2")</f>
        <v>2</v>
      </c>
      <c r="L26" s="11" t="str">
        <f>IFERROR(__xludf.DUMMYFUNCTION("""COMPUTED_VALUE"""),"-3")</f>
        <v>-3</v>
      </c>
      <c r="M26" s="11" t="str">
        <f>IFERROR(__xludf.DUMMYFUNCTION("""COMPUTED_VALUE"""),"1")</f>
        <v>1</v>
      </c>
      <c r="N26" s="11" t="str">
        <f>IFERROR(__xludf.DUMMYFUNCTION("""COMPUTED_VALUE"""),"-3")</f>
        <v>-3</v>
      </c>
      <c r="O26" s="11" t="str">
        <f>IFERROR(__xludf.DUMMYFUNCTION("""COMPUTED_VALUE"""),"N")</f>
        <v>N</v>
      </c>
      <c r="P26" s="13">
        <f>IFERROR(__xludf.DUMMYFUNCTION("""COMPUTED_VALUE"""),3.0)</f>
        <v>3</v>
      </c>
      <c r="Q26" s="11"/>
      <c r="R26" s="11"/>
      <c r="S26" s="11"/>
      <c r="T26" s="11"/>
      <c r="U26" s="11"/>
      <c r="V26" s="11"/>
      <c r="W26" s="11"/>
      <c r="X26" s="11"/>
      <c r="Y26" s="11"/>
      <c r="Z26" s="11"/>
      <c r="AA26" s="11"/>
      <c r="AB26" s="11"/>
    </row>
    <row r="27" ht="15.75" customHeight="1">
      <c r="A27" s="11" t="str">
        <f>IFERROR(__xludf.DUMMYFUNCTION("""COMPUTED_VALUE"""),"Smilodon")</f>
        <v>Smilodon</v>
      </c>
      <c r="B27" s="15" t="str">
        <f>IFERROR(__xludf.DUMMYFUNCTION("""COMPUTED_VALUE"""),"")</f>
        <v/>
      </c>
      <c r="C27" s="11" t="str">
        <f>IFERROR(__xludf.DUMMYFUNCTION("""COMPUTED_VALUE"""),"CR")</f>
        <v>CR</v>
      </c>
      <c r="D27" s="11" t="str">
        <f>IFERROR(__xludf.DUMMYFUNCTION("""COMPUTED_VALUE"""),"Prehistoric tigers with long canine fangs. They hunt grasslands and ice fields.")</f>
        <v>Prehistoric tigers with long canine fangs. They hunt grasslands and ice fields.</v>
      </c>
      <c r="E27" s="11">
        <f>IFERROR(__xludf.DUMMYFUNCTION("""COMPUTED_VALUE"""),12.0)</f>
        <v>12</v>
      </c>
      <c r="F27" s="11">
        <f>IFERROR(__xludf.DUMMYFUNCTION("""COMPUTED_VALUE"""),14.0)</f>
        <v>14</v>
      </c>
      <c r="G27" s="14" t="str">
        <f>IFERROR(__xludf.DUMMYFUNCTION("""COMPUTED_VALUE"""),"2 bite +3 (1d6)")</f>
        <v>2 bite +3 (1d6)</v>
      </c>
      <c r="H27" s="11" t="str">
        <f>IFERROR(__xludf.DUMMYFUNCTION("""COMPUTED_VALUE"""),"near")</f>
        <v>near</v>
      </c>
      <c r="I27" s="11">
        <f>IFERROR(__xludf.DUMMYFUNCTION("""COMPUTED_VALUE"""),3.0)</f>
        <v>3</v>
      </c>
      <c r="J27" s="11">
        <f>IFERROR(__xludf.DUMMYFUNCTION("""COMPUTED_VALUE"""),2.0)</f>
        <v>2</v>
      </c>
      <c r="K27" s="11">
        <f>IFERROR(__xludf.DUMMYFUNCTION("""COMPUTED_VALUE"""),1.0)</f>
        <v>1</v>
      </c>
      <c r="L27" s="11">
        <f>IFERROR(__xludf.DUMMYFUNCTION("""COMPUTED_VALUE"""),-3.0)</f>
        <v>-3</v>
      </c>
      <c r="M27" s="11">
        <f>IFERROR(__xludf.DUMMYFUNCTION("""COMPUTED_VALUE"""),1.0)</f>
        <v>1</v>
      </c>
      <c r="N27" s="11">
        <f>IFERROR(__xludf.DUMMYFUNCTION("""COMPUTED_VALUE"""),-3.0)</f>
        <v>-3</v>
      </c>
      <c r="O27" s="11" t="str">
        <f>IFERROR(__xludf.DUMMYFUNCTION("""COMPUTED_VALUE"""),"N")</f>
        <v>N</v>
      </c>
      <c r="P27" s="13">
        <f>IFERROR(__xludf.DUMMYFUNCTION("""COMPUTED_VALUE"""),3.0)</f>
        <v>3</v>
      </c>
      <c r="Q27" s="11"/>
      <c r="R27" s="11"/>
      <c r="S27" s="11"/>
      <c r="T27" s="11"/>
      <c r="U27" s="11"/>
      <c r="V27" s="11"/>
      <c r="W27" s="11"/>
      <c r="X27" s="11"/>
      <c r="Y27" s="11"/>
      <c r="Z27" s="11"/>
      <c r="AA27" s="11"/>
      <c r="AB27" s="11"/>
    </row>
    <row r="28" ht="15.75" customHeight="1">
      <c r="A28" s="11" t="str">
        <f>IFERROR(__xludf.DUMMYFUNCTION("""COMPUTED_VALUE"""),"Spider, Giant")</f>
        <v>Spider, Giant</v>
      </c>
      <c r="B28" s="12">
        <f>IFERROR(__xludf.DUMMYFUNCTION("""COMPUTED_VALUE"""),1.0)</f>
        <v>1</v>
      </c>
      <c r="C28" s="11" t="str">
        <f>IFERROR(__xludf.DUMMYFUNCTION("""COMPUTED_VALUE"""),"CR")</f>
        <v>CR</v>
      </c>
      <c r="D28" s="11" t="str">
        <f>IFERROR(__xludf.DUMMYFUNCTION("""COMPUTED_VALUE"""),"Bulbous abdomen and eight, spindly legs. Dwells high in trees or caves and ambushes prey, capturing them to eat later.")</f>
        <v>Bulbous abdomen and eight, spindly legs. Dwells high in trees or caves and ambushes prey, capturing them to eat later.</v>
      </c>
      <c r="E28" s="11">
        <f>IFERROR(__xludf.DUMMYFUNCTION("""COMPUTED_VALUE"""),13.0)</f>
        <v>13</v>
      </c>
      <c r="F28" s="11">
        <f>IFERROR(__xludf.DUMMYFUNCTION("""COMPUTED_VALUE"""),13.0)</f>
        <v>13</v>
      </c>
      <c r="G28" s="11" t="str">
        <f>IFERROR(__xludf.DUMMYFUNCTION("""COMPUTED_VALUE"""),"1 bite +3 (1d4 + poison)")</f>
        <v>1 bite +3 (1d4 + poison)</v>
      </c>
      <c r="H28" s="11" t="str">
        <f>IFERROR(__xludf.DUMMYFUNCTION("""COMPUTED_VALUE"""),"near (climb)")</f>
        <v>near (climb)</v>
      </c>
      <c r="I28" s="11">
        <f>IFERROR(__xludf.DUMMYFUNCTION("""COMPUTED_VALUE"""),2.0)</f>
        <v>2</v>
      </c>
      <c r="J28" s="11">
        <f>IFERROR(__xludf.DUMMYFUNCTION("""COMPUTED_VALUE"""),3.0)</f>
        <v>3</v>
      </c>
      <c r="K28" s="11">
        <f>IFERROR(__xludf.DUMMYFUNCTION("""COMPUTED_VALUE"""),0.0)</f>
        <v>0</v>
      </c>
      <c r="L28" s="11">
        <f>IFERROR(__xludf.DUMMYFUNCTION("""COMPUTED_VALUE"""),-2.0)</f>
        <v>-2</v>
      </c>
      <c r="M28" s="11">
        <f>IFERROR(__xludf.DUMMYFUNCTION("""COMPUTED_VALUE"""),1.0)</f>
        <v>1</v>
      </c>
      <c r="N28" s="11">
        <f>IFERROR(__xludf.DUMMYFUNCTION("""COMPUTED_VALUE"""),-2.0)</f>
        <v>-2</v>
      </c>
      <c r="O28" s="11" t="str">
        <f>IFERROR(__xludf.DUMMYFUNCTION("""COMPUTED_VALUE"""),"N")</f>
        <v>N</v>
      </c>
      <c r="P28" s="13">
        <f>IFERROR(__xludf.DUMMYFUNCTION("""COMPUTED_VALUE"""),3.0)</f>
        <v>3</v>
      </c>
      <c r="Q28" s="11" t="str">
        <f>IFERROR(__xludf.DUMMYFUNCTION("""COMPUTED_VALUE"""),"Poison. DC 12 CON or paralyzed 1d4 hours.")</f>
        <v>Poison. DC 12 CON or paralyzed 1d4 hours.</v>
      </c>
      <c r="R28" s="11"/>
      <c r="S28" s="11"/>
      <c r="T28" s="11"/>
      <c r="U28" s="11"/>
      <c r="V28" s="11"/>
      <c r="W28" s="11"/>
      <c r="X28" s="11"/>
      <c r="Y28" s="11"/>
      <c r="Z28" s="11"/>
      <c r="AA28" s="11"/>
      <c r="AB28" s="11"/>
    </row>
    <row r="29" ht="15.75" customHeight="1">
      <c r="A29" s="11" t="str">
        <f>IFERROR(__xludf.DUMMYFUNCTION("""COMPUTED_VALUE"""),"Strangler")</f>
        <v>Strangler</v>
      </c>
      <c r="B29" s="12" t="str">
        <f>IFERROR(__xludf.DUMMYFUNCTION("""COMPUTED_VALUE"""),"")</f>
        <v/>
      </c>
      <c r="C29" s="11" t="str">
        <f>IFERROR(__xludf.DUMMYFUNCTION("""COMPUTED_VALUE"""),"CR")</f>
        <v>CR</v>
      </c>
      <c r="D29" s="16" t="str">
        <f>IFERROR(__xludf.DUMMYFUNCTION("""COMPUTED_VALUE"""),"A gray-skinned, gaunt creature with four ropy limbs tipped in sucker-lined claws.")</f>
        <v>A gray-skinned, gaunt creature with four ropy limbs tipped in sucker-lined claws.</v>
      </c>
      <c r="E29" s="11">
        <f>IFERROR(__xludf.DUMMYFUNCTION("""COMPUTED_VALUE"""),12.0)</f>
        <v>12</v>
      </c>
      <c r="F29" s="11">
        <f>IFERROR(__xludf.DUMMYFUNCTION("""COMPUTED_VALUE"""),14.0)</f>
        <v>14</v>
      </c>
      <c r="G29" s="11" t="str">
        <f>IFERROR(__xludf.DUMMYFUNCTION("""COMPUTED_VALUE"""),"2 claws +2 (1d6)")</f>
        <v>2 claws +2 (1d6)</v>
      </c>
      <c r="H29" s="11" t="str">
        <f>IFERROR(__xludf.DUMMYFUNCTION("""COMPUTED_VALUE"""),"near (climb)")</f>
        <v>near (climb)</v>
      </c>
      <c r="I29" s="11">
        <f>IFERROR(__xludf.DUMMYFUNCTION("""COMPUTED_VALUE"""),-2.0)</f>
        <v>-2</v>
      </c>
      <c r="J29" s="11">
        <f>IFERROR(__xludf.DUMMYFUNCTION("""COMPUTED_VALUE"""),2.0)</f>
        <v>2</v>
      </c>
      <c r="K29" s="11">
        <f>IFERROR(__xludf.DUMMYFUNCTION("""COMPUTED_VALUE"""),1.0)</f>
        <v>1</v>
      </c>
      <c r="L29" s="11">
        <f>IFERROR(__xludf.DUMMYFUNCTION("""COMPUTED_VALUE"""),-2.0)</f>
        <v>-2</v>
      </c>
      <c r="M29" s="11">
        <f>IFERROR(__xludf.DUMMYFUNCTION("""COMPUTED_VALUE"""),0.0)</f>
        <v>0</v>
      </c>
      <c r="N29" s="11">
        <f>IFERROR(__xludf.DUMMYFUNCTION("""COMPUTED_VALUE"""),-2.0)</f>
        <v>-2</v>
      </c>
      <c r="O29" s="11" t="str">
        <f>IFERROR(__xludf.DUMMYFUNCTION("""COMPUTED_VALUE"""),"C")</f>
        <v>C</v>
      </c>
      <c r="P29" s="13">
        <f>IFERROR(__xludf.DUMMYFUNCTION("""COMPUTED_VALUE"""),3.0)</f>
        <v>3</v>
      </c>
      <c r="Q29" s="11" t="str">
        <f>IFERROR(__xludf.DUMMYFUNCTION("""COMPUTED_VALUE"""),"Stealthy. ADV on DEX checks to hide and sneak.")</f>
        <v>Stealthy. ADV on DEX checks to hide and sneak.</v>
      </c>
      <c r="R29" s="11" t="str">
        <f>IFERROR(__xludf.DUMMYFUNCTION("""COMPUTED_VALUE"""),"Strangle. Deals x2 damage against surprised creatures.")</f>
        <v>Strangle. Deals x2 damage against surprised creatures.</v>
      </c>
      <c r="S29" s="11"/>
      <c r="T29" s="11"/>
      <c r="U29" s="11"/>
      <c r="V29" s="11"/>
      <c r="W29" s="11"/>
      <c r="X29" s="11"/>
      <c r="Y29" s="11"/>
      <c r="Z29" s="11"/>
      <c r="AA29" s="11"/>
      <c r="AB29" s="11"/>
    </row>
    <row r="30" ht="15.75" customHeight="1">
      <c r="A30" s="11" t="str">
        <f>IFERROR(__xludf.DUMMYFUNCTION("""COMPUTED_VALUE"""),"Thief")</f>
        <v>Thief</v>
      </c>
      <c r="B30" s="12" t="str">
        <f>IFERROR(__xludf.DUMMYFUNCTION("""COMPUTED_VALUE"""),"")</f>
        <v/>
      </c>
      <c r="C30" s="11" t="str">
        <f>IFERROR(__xludf.DUMMYFUNCTION("""COMPUTED_VALUE"""),"CR")</f>
        <v>CR</v>
      </c>
      <c r="D30" s="17" t="str">
        <f>IFERROR(__xludf.DUMMYFUNCTION("""COMPUTED_VALUE"""),"A cat burglar in a black cloak.")</f>
        <v>A cat burglar in a black cloak.</v>
      </c>
      <c r="E30" s="11" t="str">
        <f>IFERROR(__xludf.DUMMYFUNCTION("""COMPUTED_VALUE"""),"13 (leather)")</f>
        <v>13 (leather)</v>
      </c>
      <c r="F30" s="11" t="str">
        <f>IFERROR(__xludf.DUMMYFUNCTION("""COMPUTED_VALUE"""),"13")</f>
        <v>13</v>
      </c>
      <c r="G30" s="11" t="str">
        <f>IFERROR(__xludf.DUMMYFUNCTION("""COMPUTED_VALUE"""),"1 dagger (close/near) +2 (1d4) or 1 shortsword +0 (1d6)")</f>
        <v>1 dagger (close/near) +2 (1d4) or 1 shortsword +0 (1d6)</v>
      </c>
      <c r="H30" s="11" t="str">
        <f>IFERROR(__xludf.DUMMYFUNCTION("""COMPUTED_VALUE"""),"near")</f>
        <v>near</v>
      </c>
      <c r="I30" s="11" t="str">
        <f>IFERROR(__xludf.DUMMYFUNCTION("""COMPUTED_VALUE"""),"0")</f>
        <v>0</v>
      </c>
      <c r="J30" s="11" t="str">
        <f>IFERROR(__xludf.DUMMYFUNCTION("""COMPUTED_VALUE"""),"2")</f>
        <v>2</v>
      </c>
      <c r="K30" s="11" t="str">
        <f>IFERROR(__xludf.DUMMYFUNCTION("""COMPUTED_VALUE"""),"0")</f>
        <v>0</v>
      </c>
      <c r="L30" s="11" t="str">
        <f>IFERROR(__xludf.DUMMYFUNCTION("""COMPUTED_VALUE"""),"0")</f>
        <v>0</v>
      </c>
      <c r="M30" s="11" t="str">
        <f>IFERROR(__xludf.DUMMYFUNCTION("""COMPUTED_VALUE"""),"0")</f>
        <v>0</v>
      </c>
      <c r="N30" s="11" t="str">
        <f>IFERROR(__xludf.DUMMYFUNCTION("""COMPUTED_VALUE"""),"1")</f>
        <v>1</v>
      </c>
      <c r="O30" s="11" t="str">
        <f>IFERROR(__xludf.DUMMYFUNCTION("""COMPUTED_VALUE"""),"N")</f>
        <v>N</v>
      </c>
      <c r="P30" s="13">
        <f>IFERROR(__xludf.DUMMYFUNCTION("""COMPUTED_VALUE"""),3.0)</f>
        <v>3</v>
      </c>
      <c r="Q30" s="11" t="str">
        <f>IFERROR(__xludf.DUMMYFUNCTION("""COMPUTED_VALUE"""),"Stealthy. ADV on DEX checks to sneak and hide.")</f>
        <v>Stealthy. ADV on DEX checks to sneak and hide.</v>
      </c>
      <c r="R30" s="11" t="str">
        <f>IFERROR(__xludf.DUMMYFUNCTION("""COMPUTED_VALUE"""),"Backstab. Deal x2 damage against surprised creatures.")</f>
        <v>Backstab. Deal x2 damage against surprised creatures.</v>
      </c>
      <c r="S30" s="11"/>
      <c r="T30" s="11"/>
      <c r="U30" s="11"/>
      <c r="V30" s="11"/>
      <c r="W30" s="11"/>
      <c r="X30" s="11"/>
      <c r="Y30" s="11"/>
      <c r="Z30" s="11"/>
      <c r="AA30" s="11"/>
      <c r="AB30" s="11"/>
    </row>
    <row r="31" ht="15.75" customHeight="1">
      <c r="A31" s="11" t="str">
        <f>IFERROR(__xludf.DUMMYFUNCTION("""COMPUTED_VALUE"""),"Viperian")</f>
        <v>Viperian</v>
      </c>
      <c r="B31" s="12" t="str">
        <f>IFERROR(__xludf.DUMMYFUNCTION("""COMPUTED_VALUE"""),"")</f>
        <v/>
      </c>
      <c r="C31" s="11" t="str">
        <f>IFERROR(__xludf.DUMMYFUNCTION("""COMPUTED_VALUE"""),"CR")</f>
        <v>CR</v>
      </c>
      <c r="D31" s="18" t="str">
        <f>IFERROR(__xludf.DUMMYFUNCTION("""COMPUTED_VALUE"""),"Lithe, snake-headed people with cobra hoods and emerald green scales covering their bodies.")</f>
        <v>Lithe, snake-headed people with cobra hoods and emerald green scales covering their bodies.</v>
      </c>
      <c r="E31" s="11">
        <f>IFERROR(__xludf.DUMMYFUNCTION("""COMPUTED_VALUE"""),13.0)</f>
        <v>13</v>
      </c>
      <c r="F31" s="11">
        <f>IFERROR(__xludf.DUMMYFUNCTION("""COMPUTED_VALUE"""),13.0)</f>
        <v>13</v>
      </c>
      <c r="G31" s="11" t="str">
        <f>IFERROR(__xludf.DUMMYFUNCTION("""COMPUTED_VALUE"""),"2 scimitar +2 (1d6) or 1 javelin (close/far) +2 (1d4)")</f>
        <v>2 scimitar +2 (1d6) or 1 javelin (close/far) +2 (1d4)</v>
      </c>
      <c r="H31" s="11" t="str">
        <f>IFERROR(__xludf.DUMMYFUNCTION("""COMPUTED_VALUE"""),"near")</f>
        <v>near</v>
      </c>
      <c r="I31" s="11">
        <f>IFERROR(__xludf.DUMMYFUNCTION("""COMPUTED_VALUE"""),1.0)</f>
        <v>1</v>
      </c>
      <c r="J31" s="11">
        <f>IFERROR(__xludf.DUMMYFUNCTION("""COMPUTED_VALUE"""),1.0)</f>
        <v>1</v>
      </c>
      <c r="K31" s="11">
        <f>IFERROR(__xludf.DUMMYFUNCTION("""COMPUTED_VALUE"""),0.0)</f>
        <v>0</v>
      </c>
      <c r="L31" s="11">
        <f>IFERROR(__xludf.DUMMYFUNCTION("""COMPUTED_VALUE"""),0.0)</f>
        <v>0</v>
      </c>
      <c r="M31" s="11">
        <f>IFERROR(__xludf.DUMMYFUNCTION("""COMPUTED_VALUE"""),1.0)</f>
        <v>1</v>
      </c>
      <c r="N31" s="11">
        <f>IFERROR(__xludf.DUMMYFUNCTION("""COMPUTED_VALUE"""),0.0)</f>
        <v>0</v>
      </c>
      <c r="O31" s="11" t="str">
        <f>IFERROR(__xludf.DUMMYFUNCTION("""COMPUTED_VALUE"""),"C")</f>
        <v>C</v>
      </c>
      <c r="P31" s="13">
        <f>IFERROR(__xludf.DUMMYFUNCTION("""COMPUTED_VALUE"""),3.0)</f>
        <v>3</v>
      </c>
      <c r="Q31" s="11"/>
      <c r="R31" s="11"/>
      <c r="S31" s="11"/>
      <c r="T31" s="11"/>
      <c r="U31" s="11"/>
      <c r="V31" s="11"/>
      <c r="W31" s="11"/>
      <c r="X31" s="11"/>
      <c r="Y31" s="11"/>
      <c r="Z31" s="11"/>
      <c r="AA31" s="11"/>
      <c r="AB31" s="11"/>
    </row>
    <row r="32" ht="15.75" customHeight="1">
      <c r="A32" s="11" t="str">
        <f>IFERROR(__xludf.DUMMYFUNCTION("""COMPUTED_VALUE"""),"Wererat")</f>
        <v>Wererat</v>
      </c>
      <c r="B32" s="12">
        <f>IFERROR(__xludf.DUMMYFUNCTION("""COMPUTED_VALUE"""),2.0)</f>
        <v>2</v>
      </c>
      <c r="C32" s="11" t="str">
        <f>IFERROR(__xludf.DUMMYFUNCTION("""COMPUTED_VALUE"""),"CR")</f>
        <v>CR</v>
      </c>
      <c r="D32" s="19" t="str">
        <f>IFERROR(__xludf.DUMMYFUNCTION("""COMPUTED_VALUE"""),"A slinking, rat-faced humanoid covered in mangy fur.")</f>
        <v>A slinking, rat-faced humanoid covered in mangy fur.</v>
      </c>
      <c r="E32" s="11" t="str">
        <f>IFERROR(__xludf.DUMMYFUNCTION("""COMPUTED_VALUE"""),"13 (leather)")</f>
        <v>13 (leather)</v>
      </c>
      <c r="F32" s="11">
        <f>IFERROR(__xludf.DUMMYFUNCTION("""COMPUTED_VALUE"""),14.0)</f>
        <v>14</v>
      </c>
      <c r="G32" s="11" t="str">
        <f>IFERROR(__xludf.DUMMYFUNCTION("""COMPUTED_VALUE"""),"2 bite +2 (1d6)")</f>
        <v>2 bite +2 (1d6)</v>
      </c>
      <c r="H32" s="11" t="str">
        <f>IFERROR(__xludf.DUMMYFUNCTION("""COMPUTED_VALUE"""),"near (climb)")</f>
        <v>near (climb)</v>
      </c>
      <c r="I32" s="11">
        <f>IFERROR(__xludf.DUMMYFUNCTION("""COMPUTED_VALUE"""),1.0)</f>
        <v>1</v>
      </c>
      <c r="J32" s="11">
        <f>IFERROR(__xludf.DUMMYFUNCTION("""COMPUTED_VALUE"""),2.0)</f>
        <v>2</v>
      </c>
      <c r="K32" s="11">
        <f>IFERROR(__xludf.DUMMYFUNCTION("""COMPUTED_VALUE"""),1.0)</f>
        <v>1</v>
      </c>
      <c r="L32" s="11">
        <f>IFERROR(__xludf.DUMMYFUNCTION("""COMPUTED_VALUE"""),-1.0)</f>
        <v>-1</v>
      </c>
      <c r="M32" s="11">
        <f>IFERROR(__xludf.DUMMYFUNCTION("""COMPUTED_VALUE"""),1.0)</f>
        <v>1</v>
      </c>
      <c r="N32" s="11">
        <f>IFERROR(__xludf.DUMMYFUNCTION("""COMPUTED_VALUE"""),-1.0)</f>
        <v>-1</v>
      </c>
      <c r="O32" s="11" t="str">
        <f>IFERROR(__xludf.DUMMYFUNCTION("""COMPUTED_VALUE"""),"C")</f>
        <v>C</v>
      </c>
      <c r="P32" s="13">
        <f>IFERROR(__xludf.DUMMYFUNCTION("""COMPUTED_VALUE"""),3.0)</f>
        <v>3</v>
      </c>
      <c r="Q32" s="11" t="str">
        <f>IFERROR(__xludf.DUMMYFUNCTION("""COMPUTED_VALUE"""),"Impervious. Only damaged by silver or magic sources.")</f>
        <v>Impervious. Only damaged by silver or magic sources.</v>
      </c>
      <c r="R32" s="11" t="str">
        <f>IFERROR(__xludf.DUMMYFUNCTION("""COMPUTED_VALUE"""),"Lycanthropy. If 12 or more damage from the same wererat, contract lycanthropy.")</f>
        <v>Lycanthropy. If 12 or more damage from the same wererat, contract lycanthropy.</v>
      </c>
      <c r="S32" s="11"/>
      <c r="T32" s="11"/>
      <c r="U32" s="11"/>
      <c r="V32" s="11"/>
      <c r="W32" s="11"/>
      <c r="X32" s="11"/>
      <c r="Y32" s="11"/>
      <c r="Z32" s="11"/>
      <c r="AA32" s="11"/>
      <c r="AB32" s="11"/>
    </row>
    <row r="33" ht="15.75" customHeight="1">
      <c r="A33" s="11" t="str">
        <f>IFERROR(__xludf.DUMMYFUNCTION("""COMPUTED_VALUE"""),"Wight")</f>
        <v>Wight</v>
      </c>
      <c r="B33" s="12">
        <f>IFERROR(__xludf.DUMMYFUNCTION("""COMPUTED_VALUE"""),3.0)</f>
        <v>3</v>
      </c>
      <c r="C33" s="11" t="str">
        <f>IFERROR(__xludf.DUMMYFUNCTION("""COMPUTED_VALUE"""),"CR")</f>
        <v>CR</v>
      </c>
      <c r="D33" s="18" t="str">
        <f>IFERROR(__xludf.DUMMYFUNCTION("""COMPUTED_VALUE"""),"A pale, armored undead warrior with sinister intelligence.")</f>
        <v>A pale, armored undead warrior with sinister intelligence.</v>
      </c>
      <c r="E33" s="11" t="str">
        <f>IFERROR(__xludf.DUMMYFUNCTION("""COMPUTED_VALUE"""),"14 (chainmail)")</f>
        <v>14 (chainmail)</v>
      </c>
      <c r="F33" s="11">
        <f>IFERROR(__xludf.DUMMYFUNCTION("""COMPUTED_VALUE"""),15.0)</f>
        <v>15</v>
      </c>
      <c r="G33" s="11" t="str">
        <f>IFERROR(__xludf.DUMMYFUNCTION("""COMPUTED_VALUE"""),"1 bastard sword +3 (1d10) and 1 life drain +3")</f>
        <v>1 bastard sword +3 (1d10) and 1 life drain +3</v>
      </c>
      <c r="H33" s="11" t="str">
        <f>IFERROR(__xludf.DUMMYFUNCTION("""COMPUTED_VALUE"""),"near")</f>
        <v>near</v>
      </c>
      <c r="I33" s="11">
        <f>IFERROR(__xludf.DUMMYFUNCTION("""COMPUTED_VALUE"""),3.0)</f>
        <v>3</v>
      </c>
      <c r="J33" s="11">
        <f>IFERROR(__xludf.DUMMYFUNCTION("""COMPUTED_VALUE"""),1.0)</f>
        <v>1</v>
      </c>
      <c r="K33" s="11">
        <f>IFERROR(__xludf.DUMMYFUNCTION("""COMPUTED_VALUE"""),2.0)</f>
        <v>2</v>
      </c>
      <c r="L33" s="11">
        <f>IFERROR(__xludf.DUMMYFUNCTION("""COMPUTED_VALUE"""),1.0)</f>
        <v>1</v>
      </c>
      <c r="M33" s="11">
        <f>IFERROR(__xludf.DUMMYFUNCTION("""COMPUTED_VALUE"""),0.0)</f>
        <v>0</v>
      </c>
      <c r="N33" s="11">
        <f>IFERROR(__xludf.DUMMYFUNCTION("""COMPUTED_VALUE"""),3.0)</f>
        <v>3</v>
      </c>
      <c r="O33" s="11" t="str">
        <f>IFERROR(__xludf.DUMMYFUNCTION("""COMPUTED_VALUE"""),"C")</f>
        <v>C</v>
      </c>
      <c r="P33" s="13">
        <f>IFERROR(__xludf.DUMMYFUNCTION("""COMPUTED_VALUE"""),3.0)</f>
        <v>3</v>
      </c>
      <c r="Q33" s="11" t="str">
        <f>IFERROR(__xludf.DUMMYFUNCTION("""COMPUTED_VALUE"""),"Greater Undead. Immune to morale checks. Only damaged by silver or magical sources.")</f>
        <v>Greater Undead. Immune to morale checks. Only damaged by silver or magical sources.</v>
      </c>
      <c r="R33" s="11" t="str">
        <f>IFERROR(__xludf.DUMMYFUNCTION("""COMPUTED_VALUE"""),"Life Drain. 1d4 CON damage. Death if reduced to 0 CON.")</f>
        <v>Life Drain. 1d4 CON damage. Death if reduced to 0 CON.</v>
      </c>
      <c r="S33" s="11"/>
      <c r="T33" s="11"/>
      <c r="U33" s="11"/>
      <c r="V33" s="11"/>
      <c r="W33" s="11"/>
      <c r="X33" s="11"/>
      <c r="Y33" s="11"/>
      <c r="Z33" s="11"/>
      <c r="AA33" s="11"/>
      <c r="AB33" s="11"/>
    </row>
    <row r="34" ht="15.75" customHeight="1">
      <c r="A34" s="11" t="str">
        <f>IFERROR(__xludf.DUMMYFUNCTION("""COMPUTED_VALUE"""),"Worg")</f>
        <v>Worg</v>
      </c>
      <c r="B34" s="12">
        <f>IFERROR(__xludf.DUMMYFUNCTION("""COMPUTED_VALUE"""),0.5)</f>
        <v>0.5</v>
      </c>
      <c r="C34" s="11" t="str">
        <f>IFERROR(__xludf.DUMMYFUNCTION("""COMPUTED_VALUE"""),"CR")</f>
        <v>CR</v>
      </c>
      <c r="D34" s="11" t="str">
        <f>IFERROR(__xludf.DUMMYFUNCTION("""COMPUTED_VALUE"""),"Bat-faced wolves that speak Goblin and often serve as war mounts for goblinkind.")</f>
        <v>Bat-faced wolves that speak Goblin and often serve as war mounts for goblinkind.</v>
      </c>
      <c r="E34" s="11">
        <f>IFERROR(__xludf.DUMMYFUNCTION("""COMPUTED_VALUE"""),11.0)</f>
        <v>11</v>
      </c>
      <c r="F34" s="11">
        <f>IFERROR(__xludf.DUMMYFUNCTION("""COMPUTED_VALUE"""),14.0)</f>
        <v>14</v>
      </c>
      <c r="G34" s="11" t="str">
        <f>IFERROR(__xludf.DUMMYFUNCTION("""COMPUTED_VALUE"""),"1 bite +3 (1d6)")</f>
        <v>1 bite +3 (1d6)</v>
      </c>
      <c r="H34" s="11" t="str">
        <f>IFERROR(__xludf.DUMMYFUNCTION("""COMPUTED_VALUE"""),"double near")</f>
        <v>double near</v>
      </c>
      <c r="I34" s="11">
        <f>IFERROR(__xludf.DUMMYFUNCTION("""COMPUTED_VALUE"""),2.0)</f>
        <v>2</v>
      </c>
      <c r="J34" s="11">
        <f>IFERROR(__xludf.DUMMYFUNCTION("""COMPUTED_VALUE"""),1.0)</f>
        <v>1</v>
      </c>
      <c r="K34" s="11">
        <f>IFERROR(__xludf.DUMMYFUNCTION("""COMPUTED_VALUE"""),1.0)</f>
        <v>1</v>
      </c>
      <c r="L34" s="11">
        <f>IFERROR(__xludf.DUMMYFUNCTION("""COMPUTED_VALUE"""),-2.0)</f>
        <v>-2</v>
      </c>
      <c r="M34" s="11">
        <f>IFERROR(__xludf.DUMMYFUNCTION("""COMPUTED_VALUE"""),1.0)</f>
        <v>1</v>
      </c>
      <c r="N34" s="11">
        <f>IFERROR(__xludf.DUMMYFUNCTION("""COMPUTED_VALUE"""),-2.0)</f>
        <v>-2</v>
      </c>
      <c r="O34" s="11" t="str">
        <f>IFERROR(__xludf.DUMMYFUNCTION("""COMPUTED_VALUE"""),"C")</f>
        <v>C</v>
      </c>
      <c r="P34" s="13">
        <f>IFERROR(__xludf.DUMMYFUNCTION("""COMPUTED_VALUE"""),3.0)</f>
        <v>3</v>
      </c>
      <c r="Q34" s="11"/>
      <c r="R34" s="11"/>
      <c r="S34" s="11"/>
      <c r="T34" s="11"/>
      <c r="U34" s="11"/>
      <c r="V34" s="11"/>
      <c r="W34" s="11"/>
      <c r="X34" s="11"/>
      <c r="Y34" s="11"/>
      <c r="Z34" s="11"/>
      <c r="AA34" s="11"/>
      <c r="AB34" s="11"/>
    </row>
  </sheetData>
  <customSheetViews>
    <customSheetView guid="{4FEF9F0C-4236-4853-B093-88FE2289FD26}" filter="1" showAutoFilter="1">
      <autoFilter ref="$A$1:$AB$34">
        <filterColumn colId="2">
          <filters>
            <filter val="CR"/>
          </filters>
        </filterColumn>
      </autoFilter>
    </customSheetView>
    <customSheetView guid="{5CDEC3B1-201F-4BAD-941F-A80E62A04015}" filter="1" showAutoFilter="1">
      <autoFilter ref="$A$1:$AB$34">
        <filterColumn colId="2">
          <filters/>
        </filterColumn>
      </autoFilter>
    </customSheetView>
    <customSheetView guid="{7904D927-A127-473C-8B57-4EE1C7E3FAE9}" filter="1" showAutoFilter="1">
      <autoFilter ref="$A$1:$AB$34">
        <filterColumn colId="2">
          <filters/>
        </filterColumn>
      </autoFilter>
    </customSheetView>
    <customSheetView guid="{51DCF084-7C01-403C-9896-1E7742DCA6B3}" filter="1" showAutoFilter="1">
      <autoFilter ref="$A$1:$AB$34"/>
    </customSheetView>
    <customSheetView guid="{6B2E9E35-D6A1-4749-95F2-2658A691119A}" filter="1" showAutoFilter="1">
      <autoFilter ref="$A$1:$AB$34">
        <filterColumn colId="2">
          <filters/>
        </filterColumn>
      </autoFilter>
    </customSheetView>
    <customSheetView guid="{7B4FF760-C879-4C05-8F10-45D59B7E7C3E}" filter="1" showAutoFilter="1">
      <autoFilter ref="$A$1:$AB$34">
        <filterColumn colId="2">
          <filters/>
        </filterColumn>
      </autoFilter>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IFERROR(__xludf.DUMMYFUNCTION("FILTER(All!A5:Z29, All!P5:P29 = 4)
"),"Ape, Snow")</f>
        <v>Ape, Snow</v>
      </c>
      <c r="B2" s="12" t="str">
        <f>IFERROR(__xludf.DUMMYFUNCTION("""COMPUTED_VALUE"""),"")</f>
        <v/>
      </c>
      <c r="C2" s="11" t="str">
        <f>IFERROR(__xludf.DUMMYFUNCTION("""COMPUTED_VALUE"""),"CR")</f>
        <v>CR</v>
      </c>
      <c r="D2" s="11" t="str">
        <f>IFERROR(__xludf.DUMMYFUNCTION("""COMPUTED_VALUE"""),"White-haired, carnivorous gorillas that stalk")</f>
        <v>White-haired, carnivorous gorillas that stalk</v>
      </c>
      <c r="E2" s="11">
        <f>IFERROR(__xludf.DUMMYFUNCTION("""COMPUTED_VALUE"""),13.0)</f>
        <v>13</v>
      </c>
      <c r="F2" s="11">
        <f>IFERROR(__xludf.DUMMYFUNCTION("""COMPUTED_VALUE"""),19.0)</f>
        <v>19</v>
      </c>
      <c r="G2" s="11" t="str">
        <f>IFERROR(__xludf.DUMMYFUNCTION("""COMPUTED_VALUE"""),"2 fist +4 (1d6) or 1 rock (far) +4 (2d6)")</f>
        <v>2 fist +4 (1d6) or 1 rock (far) +4 (2d6)</v>
      </c>
      <c r="H2" s="11" t="str">
        <f>IFERROR(__xludf.DUMMYFUNCTION("""COMPUTED_VALUE"""),"near (climb)")</f>
        <v>near (climb)</v>
      </c>
      <c r="I2" s="11">
        <f>IFERROR(__xludf.DUMMYFUNCTION("""COMPUTED_VALUE"""),3.0)</f>
        <v>3</v>
      </c>
      <c r="J2" s="11">
        <f>IFERROR(__xludf.DUMMYFUNCTION("""COMPUTED_VALUE"""),1.0)</f>
        <v>1</v>
      </c>
      <c r="K2" s="11">
        <f>IFERROR(__xludf.DUMMYFUNCTION("""COMPUTED_VALUE"""),1.0)</f>
        <v>1</v>
      </c>
      <c r="L2" s="11">
        <f>IFERROR(__xludf.DUMMYFUNCTION("""COMPUTED_VALUE"""),-2.0)</f>
        <v>-2</v>
      </c>
      <c r="M2" s="11">
        <f>IFERROR(__xludf.DUMMYFUNCTION("""COMPUTED_VALUE"""),1.0)</f>
        <v>1</v>
      </c>
      <c r="N2" s="11">
        <f>IFERROR(__xludf.DUMMYFUNCTION("""COMPUTED_VALUE"""),0.0)</f>
        <v>0</v>
      </c>
      <c r="O2" s="11" t="str">
        <f>IFERROR(__xludf.DUMMYFUNCTION("""COMPUTED_VALUE"""),"N")</f>
        <v>N</v>
      </c>
      <c r="P2" s="13">
        <f>IFERROR(__xludf.DUMMYFUNCTION("""COMPUTED_VALUE"""),4.0)</f>
        <v>4</v>
      </c>
      <c r="Q2" s="11" t="str">
        <f>IFERROR(__xludf.DUMMYFUNCTION("""COMPUTED_VALUE"""),"Thick Fur. Cold immune.")</f>
        <v>Thick Fur. Cold immune.</v>
      </c>
      <c r="R2" s="11"/>
      <c r="S2" s="11"/>
      <c r="T2" s="11"/>
      <c r="U2" s="11"/>
      <c r="V2" s="11"/>
      <c r="W2" s="11"/>
      <c r="X2" s="11"/>
      <c r="Y2" s="11"/>
      <c r="Z2" s="11"/>
      <c r="AA2" s="11"/>
      <c r="AB2" s="11"/>
    </row>
    <row r="3" ht="15.75" customHeight="1">
      <c r="A3" s="11" t="str">
        <f>IFERROR(__xludf.DUMMYFUNCTION("""COMPUTED_VALUE"""),"Bat, Swarm")</f>
        <v>Bat, Swarm</v>
      </c>
      <c r="B3" s="12" t="str">
        <f>IFERROR(__xludf.DUMMYFUNCTION("""COMPUTED_VALUE"""),"")</f>
        <v/>
      </c>
      <c r="C3" s="11" t="str">
        <f>IFERROR(__xludf.DUMMYFUNCTION("""COMPUTED_VALUE"""),"CR")</f>
        <v>CR</v>
      </c>
      <c r="D3" s="11" t="str">
        <f>IFERROR(__xludf.DUMMYFUNCTION("""COMPUTED_VALUE"""),"A whirling cloud of screeching, bloodthirsty bats.")</f>
        <v>A whirling cloud of screeching, bloodthirsty bats.</v>
      </c>
      <c r="E3" s="11">
        <f>IFERROR(__xludf.DUMMYFUNCTION("""COMPUTED_VALUE"""),12.0)</f>
        <v>12</v>
      </c>
      <c r="F3" s="11">
        <f>IFERROR(__xludf.DUMMYFUNCTION("""COMPUTED_VALUE"""),18.0)</f>
        <v>18</v>
      </c>
      <c r="G3" s="11" t="str">
        <f>IFERROR(__xludf.DUMMYFUNCTION("""COMPUTED_VALUE"""),"3 bite +2 (1d6)")</f>
        <v>3 bite +2 (1d6)</v>
      </c>
      <c r="H3" s="11" t="str">
        <f>IFERROR(__xludf.DUMMYFUNCTION("""COMPUTED_VALUE"""),"near (fly)")</f>
        <v>near (fly)</v>
      </c>
      <c r="I3" s="11">
        <f>IFERROR(__xludf.DUMMYFUNCTION("""COMPUTED_VALUE"""),-3.0)</f>
        <v>-3</v>
      </c>
      <c r="J3" s="11">
        <f>IFERROR(__xludf.DUMMYFUNCTION("""COMPUTED_VALUE"""),2.0)</f>
        <v>2</v>
      </c>
      <c r="K3" s="11">
        <f>IFERROR(__xludf.DUMMYFUNCTION("""COMPUTED_VALUE"""),0.0)</f>
        <v>0</v>
      </c>
      <c r="L3" s="11">
        <f>IFERROR(__xludf.DUMMYFUNCTION("""COMPUTED_VALUE"""),-3.0)</f>
        <v>-3</v>
      </c>
      <c r="M3" s="11">
        <f>IFERROR(__xludf.DUMMYFUNCTION("""COMPUTED_VALUE"""),1.0)</f>
        <v>1</v>
      </c>
      <c r="N3" s="11">
        <f>IFERROR(__xludf.DUMMYFUNCTION("""COMPUTED_VALUE"""),-3.0)</f>
        <v>-3</v>
      </c>
      <c r="O3" s="11" t="str">
        <f>IFERROR(__xludf.DUMMYFUNCTION("""COMPUTED_VALUE"""),"N")</f>
        <v>N</v>
      </c>
      <c r="P3" s="13">
        <f>IFERROR(__xludf.DUMMYFUNCTION("""COMPUTED_VALUE"""),4.0)</f>
        <v>4</v>
      </c>
      <c r="Q3" s="11"/>
      <c r="R3" s="11"/>
      <c r="S3" s="11"/>
      <c r="T3" s="11"/>
      <c r="U3" s="11"/>
      <c r="V3" s="11"/>
      <c r="W3" s="11"/>
      <c r="X3" s="11"/>
      <c r="Y3" s="11"/>
      <c r="Z3" s="11"/>
      <c r="AA3" s="11"/>
      <c r="AB3" s="11"/>
    </row>
    <row r="4" ht="15.75" customHeight="1">
      <c r="A4" s="11" t="str">
        <f>IFERROR(__xludf.DUMMYFUNCTION("""COMPUTED_VALUE"""),"Cave Creeper")</f>
        <v>Cave Creeper</v>
      </c>
      <c r="B4" s="12" t="str">
        <f>IFERROR(__xludf.DUMMYFUNCTION("""COMPUTED_VALUE"""),"")</f>
        <v/>
      </c>
      <c r="C4" s="11" t="str">
        <f>IFERROR(__xludf.DUMMYFUNCTION("""COMPUTED_VALUE"""),"CR")</f>
        <v>CR</v>
      </c>
      <c r="D4" s="11" t="str">
        <f>IFERROR(__xludf.DUMMYFUNCTION("""COMPUTED_VALUE"""),"Chittering, green centipedes the
size of horses. Their grasping
tentacles are coated in a
paralytic venom.")</f>
        <v>Chittering, green centipedes the
size of horses. Their grasping
tentacles are coated in a
paralytic venom.</v>
      </c>
      <c r="E4" s="11">
        <f>IFERROR(__xludf.DUMMYFUNCTION("""COMPUTED_VALUE"""),12.0)</f>
        <v>12</v>
      </c>
      <c r="F4" s="11">
        <f>IFERROR(__xludf.DUMMYFUNCTION("""COMPUTED_VALUE"""),18.0)</f>
        <v>18</v>
      </c>
      <c r="G4" s="11" t="str">
        <f>IFERROR(__xludf.DUMMYFUNCTION("""COMPUTED_VALUE"""),"1 bite +3 (1d6) and 1 tentacles +3 (1d8 + toxin)")</f>
        <v>1 bite +3 (1d6) and 1 tentacles +3 (1d8 + toxin)</v>
      </c>
      <c r="H4" s="11" t="str">
        <f>IFERROR(__xludf.DUMMYFUNCTION("""COMPUTED_VALUE"""),"near (climb)")</f>
        <v>near (climb)</v>
      </c>
      <c r="I4" s="11">
        <f>IFERROR(__xludf.DUMMYFUNCTION("""COMPUTED_VALUE"""),2.0)</f>
        <v>2</v>
      </c>
      <c r="J4" s="11">
        <f>IFERROR(__xludf.DUMMYFUNCTION("""COMPUTED_VALUE"""),2.0)</f>
        <v>2</v>
      </c>
      <c r="K4" s="11">
        <f>IFERROR(__xludf.DUMMYFUNCTION("""COMPUTED_VALUE"""),0.0)</f>
        <v>0</v>
      </c>
      <c r="L4" s="11">
        <f>IFERROR(__xludf.DUMMYFUNCTION("""COMPUTED_VALUE"""),-3.0)</f>
        <v>-3</v>
      </c>
      <c r="M4" s="11">
        <f>IFERROR(__xludf.DUMMYFUNCTION("""COMPUTED_VALUE"""),1.0)</f>
        <v>1</v>
      </c>
      <c r="N4" s="11">
        <f>IFERROR(__xludf.DUMMYFUNCTION("""COMPUTED_VALUE"""),-3.0)</f>
        <v>-3</v>
      </c>
      <c r="O4" s="11" t="str">
        <f>IFERROR(__xludf.DUMMYFUNCTION("""COMPUTED_VALUE"""),"N")</f>
        <v>N</v>
      </c>
      <c r="P4" s="13">
        <f>IFERROR(__xludf.DUMMYFUNCTION("""COMPUTED_VALUE"""),4.0)</f>
        <v>4</v>
      </c>
      <c r="Q4" s="11" t="str">
        <f>IFERROR(__xludf.DUMMYFUNCTION("""COMPUTED_VALUE"""),"Toxin. DC 12 CON or paralyzed 1d4 rounds.")</f>
        <v>Toxin. DC 12 CON or paralyzed 1d4 rounds.</v>
      </c>
      <c r="R4" s="11"/>
      <c r="S4" s="11"/>
      <c r="T4" s="11"/>
      <c r="U4" s="11"/>
      <c r="V4" s="11"/>
      <c r="W4" s="11"/>
      <c r="X4" s="11"/>
      <c r="Y4" s="11"/>
      <c r="Z4" s="11"/>
      <c r="AA4" s="11"/>
      <c r="AB4" s="11"/>
    </row>
    <row r="5" ht="15.75" customHeight="1">
      <c r="A5" s="11" t="str">
        <f>IFERROR(__xludf.DUMMYFUNCTION("""COMPUTED_VALUE"""),"Centipede, Swarm")</f>
        <v>Centipede, Swarm</v>
      </c>
      <c r="B5" s="12" t="str">
        <f>IFERROR(__xludf.DUMMYFUNCTION("""COMPUTED_VALUE"""),"")</f>
        <v/>
      </c>
      <c r="C5" s="11" t="str">
        <f>IFERROR(__xludf.DUMMYFUNCTION("""COMPUTED_VALUE"""),"CR")</f>
        <v>CR</v>
      </c>
      <c r="D5" s="11" t="str">
        <f>IFERROR(__xludf.DUMMYFUNCTION("""COMPUTED_VALUE"""),"A crawling mass of weaving, sinuous centipedes.")</f>
        <v>A crawling mass of weaving, sinuous centipedes.</v>
      </c>
      <c r="E5" s="11">
        <f>IFERROR(__xludf.DUMMYFUNCTION("""COMPUTED_VALUE"""),11.0)</f>
        <v>11</v>
      </c>
      <c r="F5" s="11">
        <f>IFERROR(__xludf.DUMMYFUNCTION("""COMPUTED_VALUE"""),18.0)</f>
        <v>18</v>
      </c>
      <c r="G5" s="11" t="str">
        <f>IFERROR(__xludf.DUMMYFUNCTION("""COMPUTED_VALUE"""),"3 bite +1 (1d4 + poison)")</f>
        <v>3 bite +1 (1d4 + poison)</v>
      </c>
      <c r="H5" s="11" t="str">
        <f>IFERROR(__xludf.DUMMYFUNCTION("""COMPUTED_VALUE"""),"near (climb)")</f>
        <v>near (climb)</v>
      </c>
      <c r="I5" s="11">
        <f>IFERROR(__xludf.DUMMYFUNCTION("""COMPUTED_VALUE"""),-3.0)</f>
        <v>-3</v>
      </c>
      <c r="J5" s="11">
        <f>IFERROR(__xludf.DUMMYFUNCTION("""COMPUTED_VALUE"""),1.0)</f>
        <v>1</v>
      </c>
      <c r="K5" s="11">
        <f>IFERROR(__xludf.DUMMYFUNCTION("""COMPUTED_VALUE"""),0.0)</f>
        <v>0</v>
      </c>
      <c r="L5" s="11">
        <f>IFERROR(__xludf.DUMMYFUNCTION("""COMPUTED_VALUE"""),-4.0)</f>
        <v>-4</v>
      </c>
      <c r="M5" s="11">
        <f>IFERROR(__xludf.DUMMYFUNCTION("""COMPUTED_VALUE"""),-3.0)</f>
        <v>-3</v>
      </c>
      <c r="N5" s="11">
        <f>IFERROR(__xludf.DUMMYFUNCTION("""COMPUTED_VALUE"""),-4.0)</f>
        <v>-4</v>
      </c>
      <c r="O5" s="11" t="str">
        <f>IFERROR(__xludf.DUMMYFUNCTION("""COMPUTED_VALUE"""),"N")</f>
        <v>N</v>
      </c>
      <c r="P5" s="13">
        <f>IFERROR(__xludf.DUMMYFUNCTION("""COMPUTED_VALUE"""),4.0)</f>
        <v>4</v>
      </c>
      <c r="Q5" s="11" t="str">
        <f>IFERROR(__xludf.DUMMYFUNCTION("""COMPUTED_VALUE"""),"Poison. DC 12 CON or paralyzed 1d4 rounds.")</f>
        <v>Poison. DC 12 CON or paralyzed 1d4 rounds.</v>
      </c>
      <c r="R5" s="11"/>
      <c r="S5" s="11"/>
      <c r="T5" s="11"/>
      <c r="U5" s="11"/>
      <c r="V5" s="11"/>
      <c r="W5" s="11"/>
      <c r="X5" s="11"/>
      <c r="Y5" s="11"/>
      <c r="Z5" s="11"/>
      <c r="AA5" s="11"/>
      <c r="AB5" s="11"/>
    </row>
    <row r="6" ht="15.75" customHeight="1">
      <c r="A6" s="11" t="str">
        <f>IFERROR(__xludf.DUMMYFUNCTION("""COMPUTED_VALUE"""),"Crocodile")</f>
        <v>Crocodile</v>
      </c>
      <c r="B6" s="12">
        <f>IFERROR(__xludf.DUMMYFUNCTION("""COMPUTED_VALUE"""),0.5)</f>
        <v>0.5</v>
      </c>
      <c r="C6" s="11" t="str">
        <f>IFERROR(__xludf.DUMMYFUNCTION("""COMPUTED_VALUE"""),"CR")</f>
        <v>CR</v>
      </c>
      <c r="D6" s="11" t="str">
        <f>IFERROR(__xludf.DUMMYFUNCTION("""COMPUTED_VALUE"""),"Fat, scaly reptiles with stumpy legs and long, thrashing tails.")</f>
        <v>Fat, scaly reptiles with stumpy legs and long, thrashing tails.</v>
      </c>
      <c r="E6" s="11">
        <f>IFERROR(__xludf.DUMMYFUNCTION("""COMPUTED_VALUE"""),14.0)</f>
        <v>14</v>
      </c>
      <c r="F6" s="11">
        <f>IFERROR(__xludf.DUMMYFUNCTION("""COMPUTED_VALUE"""),20.0)</f>
        <v>20</v>
      </c>
      <c r="G6" s="11" t="str">
        <f>IFERROR(__xludf.DUMMYFUNCTION("""COMPUTED_VALUE"""),"2 bite +3 (1d8)")</f>
        <v>2 bite +3 (1d8)</v>
      </c>
      <c r="H6" s="11" t="str">
        <f>IFERROR(__xludf.DUMMYFUNCTION("""COMPUTED_VALUE"""),"near (swim)")</f>
        <v>near (swim)</v>
      </c>
      <c r="I6" s="11">
        <f>IFERROR(__xludf.DUMMYFUNCTION("""COMPUTED_VALUE"""),3.0)</f>
        <v>3</v>
      </c>
      <c r="J6" s="11">
        <f>IFERROR(__xludf.DUMMYFUNCTION("""COMPUTED_VALUE"""),1.0)</f>
        <v>1</v>
      </c>
      <c r="K6" s="11">
        <f>IFERROR(__xludf.DUMMYFUNCTION("""COMPUTED_VALUE"""),2.0)</f>
        <v>2</v>
      </c>
      <c r="L6" s="11">
        <f>IFERROR(__xludf.DUMMYFUNCTION("""COMPUTED_VALUE"""),-2.0)</f>
        <v>-2</v>
      </c>
      <c r="M6" s="11">
        <f>IFERROR(__xludf.DUMMYFUNCTION("""COMPUTED_VALUE"""),1.0)</f>
        <v>1</v>
      </c>
      <c r="N6" s="11">
        <f>IFERROR(__xludf.DUMMYFUNCTION("""COMPUTED_VALUE"""),-2.0)</f>
        <v>-2</v>
      </c>
      <c r="O6" s="11" t="str">
        <f>IFERROR(__xludf.DUMMYFUNCTION("""COMPUTED_VALUE"""),"N")</f>
        <v>N</v>
      </c>
      <c r="P6" s="13">
        <f>IFERROR(__xludf.DUMMYFUNCTION("""COMPUTED_VALUE"""),4.0)</f>
        <v>4</v>
      </c>
      <c r="Q6" s="11"/>
      <c r="R6" s="11"/>
      <c r="S6" s="11"/>
      <c r="T6" s="11"/>
      <c r="U6" s="11"/>
      <c r="V6" s="11"/>
      <c r="W6" s="11"/>
      <c r="X6" s="11"/>
      <c r="Y6" s="11"/>
      <c r="Z6" s="11"/>
      <c r="AA6" s="11"/>
      <c r="AB6" s="11"/>
    </row>
    <row r="7" ht="15.75" customHeight="1">
      <c r="A7" s="11" t="str">
        <f>IFERROR(__xludf.DUMMYFUNCTION("""COMPUTED_VALUE"""),"Dinosaur, Pterodactyl")</f>
        <v>Dinosaur, Pterodactyl</v>
      </c>
      <c r="B7" s="12" t="str">
        <f>IFERROR(__xludf.DUMMYFUNCTION("""COMPUTED_VALUE"""),"")</f>
        <v/>
      </c>
      <c r="C7" s="11" t="str">
        <f>IFERROR(__xludf.DUMMYFUNCTION("""COMPUTED_VALUE"""),"CR")</f>
        <v>CR</v>
      </c>
      <c r="D7" s="11" t="str">
        <f>IFERROR(__xludf.DUMMYFUNCTION("""COMPUTED_VALUE"""),"Long-beaked beasts with wide, triangular wings. Large enough to carry off a human.")</f>
        <v>Long-beaked beasts with wide, triangular wings. Large enough to carry off a human.</v>
      </c>
      <c r="E7" s="11">
        <f>IFERROR(__xludf.DUMMYFUNCTION("""COMPUTED_VALUE"""),14.0)</f>
        <v>14</v>
      </c>
      <c r="F7" s="11">
        <f>IFERROR(__xludf.DUMMYFUNCTION("""COMPUTED_VALUE"""),20.0)</f>
        <v>20</v>
      </c>
      <c r="G7" s="11" t="str">
        <f>IFERROR(__xludf.DUMMYFUNCTION("""COMPUTED_VALUE"""),"2 beak +4 (1d8 + grab)")</f>
        <v>2 beak +4 (1d8 + grab)</v>
      </c>
      <c r="H7" s="11" t="str">
        <f>IFERROR(__xludf.DUMMYFUNCTION("""COMPUTED_VALUE"""),"double near (fly)")</f>
        <v>double near (fly)</v>
      </c>
      <c r="I7" s="11">
        <f>IFERROR(__xludf.DUMMYFUNCTION("""COMPUTED_VALUE"""),2.0)</f>
        <v>2</v>
      </c>
      <c r="J7" s="11">
        <f>IFERROR(__xludf.DUMMYFUNCTION("""COMPUTED_VALUE"""),4.0)</f>
        <v>4</v>
      </c>
      <c r="K7" s="11">
        <f>IFERROR(__xludf.DUMMYFUNCTION("""COMPUTED_VALUE"""),2.0)</f>
        <v>2</v>
      </c>
      <c r="L7" s="11">
        <f>IFERROR(__xludf.DUMMYFUNCTION("""COMPUTED_VALUE"""),-2.0)</f>
        <v>-2</v>
      </c>
      <c r="M7" s="11">
        <f>IFERROR(__xludf.DUMMYFUNCTION("""COMPUTED_VALUE"""),1.0)</f>
        <v>1</v>
      </c>
      <c r="N7" s="11">
        <f>IFERROR(__xludf.DUMMYFUNCTION("""COMPUTED_VALUE"""),-3.0)</f>
        <v>-3</v>
      </c>
      <c r="O7" s="11" t="str">
        <f>IFERROR(__xludf.DUMMYFUNCTION("""COMPUTED_VALUE"""),"N")</f>
        <v>N</v>
      </c>
      <c r="P7" s="13">
        <f>IFERROR(__xludf.DUMMYFUNCTION("""COMPUTED_VALUE"""),4.0)</f>
        <v>4</v>
      </c>
      <c r="Q7" s="11" t="str">
        <f>IFERROR(__xludf.DUMMYFUNCTION("""COMPUTED_VALUE"""),"Grab. DC 15 STR or held. DC 15 STR on turn to break free.")</f>
        <v>Grab. DC 15 STR or held. DC 15 STR on turn to break free.</v>
      </c>
      <c r="R7" s="11"/>
      <c r="S7" s="11"/>
      <c r="T7" s="11"/>
      <c r="U7" s="11"/>
      <c r="V7" s="11"/>
      <c r="W7" s="11"/>
      <c r="X7" s="11"/>
      <c r="Y7" s="11"/>
      <c r="Z7" s="11"/>
      <c r="AA7" s="11"/>
      <c r="AB7" s="11"/>
    </row>
    <row r="8" ht="15.75" customHeight="1">
      <c r="A8" s="11" t="str">
        <f>IFERROR(__xludf.DUMMYFUNCTION("""COMPUTED_VALUE"""),"Doppelganger")</f>
        <v>Doppelganger</v>
      </c>
      <c r="B8" s="12">
        <f>IFERROR(__xludf.DUMMYFUNCTION("""COMPUTED_VALUE"""),3.0)</f>
        <v>3</v>
      </c>
      <c r="C8" s="11" t="str">
        <f>IFERROR(__xludf.DUMMYFUNCTION("""COMPUTED_VALUE"""),"CR")</f>
        <v>CR</v>
      </c>
      <c r="D8" s="11" t="str">
        <f>IFERROR(__xludf.DUMMYFUNCTION("""COMPUTED_VALUE"""),"Gray, featureless humanoids sowing chaos")</f>
        <v>Gray, featureless humanoids sowing chaos</v>
      </c>
      <c r="E8" s="11">
        <f>IFERROR(__xludf.DUMMYFUNCTION("""COMPUTED_VALUE"""),12.0)</f>
        <v>12</v>
      </c>
      <c r="F8" s="11">
        <f>IFERROR(__xludf.DUMMYFUNCTION("""COMPUTED_VALUE"""),20.0)</f>
        <v>20</v>
      </c>
      <c r="G8" s="11" t="str">
        <f>IFERROR(__xludf.DUMMYFUNCTION("""COMPUTED_VALUE"""),"1 dagger (close/near) +2 (1d4)")</f>
        <v>1 dagger (close/near) +2 (1d4)</v>
      </c>
      <c r="H8" s="11" t="str">
        <f>IFERROR(__xludf.DUMMYFUNCTION("""COMPUTED_VALUE"""),"near")</f>
        <v>near</v>
      </c>
      <c r="I8" s="11">
        <f>IFERROR(__xludf.DUMMYFUNCTION("""COMPUTED_VALUE"""),1.0)</f>
        <v>1</v>
      </c>
      <c r="J8" s="11">
        <f>IFERROR(__xludf.DUMMYFUNCTION("""COMPUTED_VALUE"""),2.0)</f>
        <v>2</v>
      </c>
      <c r="K8" s="11">
        <f>IFERROR(__xludf.DUMMYFUNCTION("""COMPUTED_VALUE"""),2.0)</f>
        <v>2</v>
      </c>
      <c r="L8" s="11">
        <f>IFERROR(__xludf.DUMMYFUNCTION("""COMPUTED_VALUE"""),1.0)</f>
        <v>1</v>
      </c>
      <c r="M8" s="11">
        <f>IFERROR(__xludf.DUMMYFUNCTION("""COMPUTED_VALUE"""),0.0)</f>
        <v>0</v>
      </c>
      <c r="N8" s="11">
        <f>IFERROR(__xludf.DUMMYFUNCTION("""COMPUTED_VALUE"""),4.0)</f>
        <v>4</v>
      </c>
      <c r="O8" s="11" t="str">
        <f>IFERROR(__xludf.DUMMYFUNCTION("""COMPUTED_VALUE"""),"C")</f>
        <v>C</v>
      </c>
      <c r="P8" s="13">
        <f>IFERROR(__xludf.DUMMYFUNCTION("""COMPUTED_VALUE"""),4.0)</f>
        <v>4</v>
      </c>
      <c r="Q8" s="11" t="str">
        <f>IFERROR(__xludf.DUMMYFUNCTION("""COMPUTED_VALUE"""),"Change Shape. In place of attacks, transform into any similarly-sized humanoid.")</f>
        <v>Change Shape. In place of attacks, transform into any similarly-sized humanoid.</v>
      </c>
      <c r="R8" s="11" t="str">
        <f>IFERROR(__xludf.DUMMYFUNCTION("""COMPUTED_VALUE"""),"Telepathy. Can secretly hear the surface thoughts of all humanoids within near")</f>
        <v>Telepathy. Can secretly hear the surface thoughts of all humanoids within near</v>
      </c>
      <c r="S8" s="11"/>
      <c r="T8" s="11"/>
      <c r="U8" s="11"/>
      <c r="V8" s="11"/>
      <c r="W8" s="11"/>
      <c r="X8" s="11"/>
      <c r="Y8" s="11"/>
      <c r="Z8" s="11"/>
      <c r="AA8" s="11"/>
      <c r="AB8" s="11"/>
    </row>
    <row r="9" ht="15.75" customHeight="1">
      <c r="A9" s="11" t="str">
        <f>IFERROR(__xludf.DUMMYFUNCTION("""COMPUTED_VALUE"""),"Dryad")</f>
        <v>Dryad</v>
      </c>
      <c r="B9" s="12">
        <f>IFERROR(__xludf.DUMMYFUNCTION("""COMPUTED_VALUE"""),1.0)</f>
        <v>1</v>
      </c>
      <c r="C9" s="11" t="str">
        <f>IFERROR(__xludf.DUMMYFUNCTION("""COMPUTED_VALUE"""),"CR")</f>
        <v>CR</v>
      </c>
      <c r="D9" s="11" t="str">
        <f>IFERROR(__xludf.DUMMYFUNCTION("""COMPUTED_VALUE"""),"A coy, emerald-skinned fey covered in leaves. It bonds with and protects a tree.")</f>
        <v>A coy, emerald-skinned fey covered in leaves. It bonds with and protects a tree.</v>
      </c>
      <c r="E9" s="11">
        <f>IFERROR(__xludf.DUMMYFUNCTION("""COMPUTED_VALUE"""),13.0)</f>
        <v>13</v>
      </c>
      <c r="F9" s="11">
        <f>IFERROR(__xludf.DUMMYFUNCTION("""COMPUTED_VALUE"""),19.0)</f>
        <v>19</v>
      </c>
      <c r="G9" s="11" t="str">
        <f>IFERROR(__xludf.DUMMYFUNCTION("""COMPUTED_VALUE"""),"1 staff -1 (1d4) or 1 charm")</f>
        <v>1 staff -1 (1d4) or 1 charm</v>
      </c>
      <c r="H9" s="11" t="str">
        <f>IFERROR(__xludf.DUMMYFUNCTION("""COMPUTED_VALUE"""),"near")</f>
        <v>near</v>
      </c>
      <c r="I9" s="11">
        <f>IFERROR(__xludf.DUMMYFUNCTION("""COMPUTED_VALUE"""),-1.0)</f>
        <v>-1</v>
      </c>
      <c r="J9" s="11">
        <f>IFERROR(__xludf.DUMMYFUNCTION("""COMPUTED_VALUE"""),2.0)</f>
        <v>2</v>
      </c>
      <c r="K9" s="11">
        <f>IFERROR(__xludf.DUMMYFUNCTION("""COMPUTED_VALUE"""),1.0)</f>
        <v>1</v>
      </c>
      <c r="L9" s="11">
        <f>IFERROR(__xludf.DUMMYFUNCTION("""COMPUTED_VALUE"""),1.0)</f>
        <v>1</v>
      </c>
      <c r="M9" s="11">
        <f>IFERROR(__xludf.DUMMYFUNCTION("""COMPUTED_VALUE"""),3.0)</f>
        <v>3</v>
      </c>
      <c r="N9" s="11">
        <f>IFERROR(__xludf.DUMMYFUNCTION("""COMPUTED_VALUE"""),4.0)</f>
        <v>4</v>
      </c>
      <c r="O9" s="11" t="str">
        <f>IFERROR(__xludf.DUMMYFUNCTION("""COMPUTED_VALUE"""),"N")</f>
        <v>N</v>
      </c>
      <c r="P9" s="13">
        <f>IFERROR(__xludf.DUMMYFUNCTION("""COMPUTED_VALUE"""),4.0)</f>
        <v>4</v>
      </c>
      <c r="Q9" s="11" t="str">
        <f>IFERROR(__xludf.DUMMYFUNCTION("""COMPUTED_VALUE"""),"Charm. Near, one creature, DC 14 CHA or friendship for 1d8 days.")</f>
        <v>Charm. Near, one creature, DC 14 CHA or friendship for 1d8 days.</v>
      </c>
      <c r="R9" s="11" t="str">
        <f>IFERROR(__xludf.DUMMYFUNCTION("""COMPUTED_VALUE"""),"Meld. Step inside bonded tree.")</f>
        <v>Meld. Step inside bonded tree.</v>
      </c>
      <c r="S9" s="11"/>
      <c r="T9" s="11"/>
      <c r="U9" s="11"/>
      <c r="V9" s="11"/>
      <c r="W9" s="11"/>
      <c r="X9" s="11"/>
      <c r="Y9" s="11"/>
      <c r="Z9" s="11"/>
      <c r="AA9" s="11"/>
      <c r="AB9" s="11"/>
    </row>
    <row r="10" ht="15.75" customHeight="1">
      <c r="A10" s="11" t="str">
        <f>IFERROR(__xludf.DUMMYFUNCTION("""COMPUTED_VALUE"""),"Gargoyle")</f>
        <v>Gargoyle</v>
      </c>
      <c r="B10" s="12">
        <f>IFERROR(__xludf.DUMMYFUNCTION("""COMPUTED_VALUE"""),2.0)</f>
        <v>2</v>
      </c>
      <c r="C10" s="11" t="str">
        <f>IFERROR(__xludf.DUMMYFUNCTION("""COMPUTED_VALUE"""),"CR")</f>
        <v>CR</v>
      </c>
      <c r="D10" s="11" t="str">
        <f>IFERROR(__xludf.DUMMYFUNCTION("""COMPUTED_VALUE"""),"Leering, winged fiends that look like stone statues. They can hold perfectly still for long stretches of time.")</f>
        <v>Leering, winged fiends that look like stone statues. They can hold perfectly still for long stretches of time.</v>
      </c>
      <c r="E10" s="11">
        <f>IFERROR(__xludf.DUMMYFUNCTION("""COMPUTED_VALUE"""),16.0)</f>
        <v>16</v>
      </c>
      <c r="F10" s="11">
        <f>IFERROR(__xludf.DUMMYFUNCTION("""COMPUTED_VALUE"""),20.0)</f>
        <v>20</v>
      </c>
      <c r="G10" s="11" t="str">
        <f>IFERROR(__xludf.DUMMYFUNCTION("""COMPUTED_VALUE"""),"2 claw +3 (1d6)")</f>
        <v>2 claw +3 (1d6)</v>
      </c>
      <c r="H10" s="11" t="str">
        <f>IFERROR(__xludf.DUMMYFUNCTION("""COMPUTED_VALUE"""),"near (fly)")</f>
        <v>near (fly)</v>
      </c>
      <c r="I10" s="11">
        <f>IFERROR(__xludf.DUMMYFUNCTION("""COMPUTED_VALUE"""),3.0)</f>
        <v>3</v>
      </c>
      <c r="J10" s="11">
        <f>IFERROR(__xludf.DUMMYFUNCTION("""COMPUTED_VALUE"""),1.0)</f>
        <v>1</v>
      </c>
      <c r="K10" s="11">
        <f>IFERROR(__xludf.DUMMYFUNCTION("""COMPUTED_VALUE"""),2.0)</f>
        <v>2</v>
      </c>
      <c r="L10" s="11">
        <f>IFERROR(__xludf.DUMMYFUNCTION("""COMPUTED_VALUE"""),0.0)</f>
        <v>0</v>
      </c>
      <c r="M10" s="11">
        <f>IFERROR(__xludf.DUMMYFUNCTION("""COMPUTED_VALUE"""),1.0)</f>
        <v>1</v>
      </c>
      <c r="N10" s="11">
        <f>IFERROR(__xludf.DUMMYFUNCTION("""COMPUTED_VALUE"""),-1.0)</f>
        <v>-1</v>
      </c>
      <c r="O10" s="11" t="str">
        <f>IFERROR(__xludf.DUMMYFUNCTION("""COMPUTED_VALUE"""),"C")</f>
        <v>C</v>
      </c>
      <c r="P10" s="13">
        <f>IFERROR(__xludf.DUMMYFUNCTION("""COMPUTED_VALUE"""),4.0)</f>
        <v>4</v>
      </c>
      <c r="Q10" s="11" t="str">
        <f>IFERROR(__xludf.DUMMYFUNCTION("""COMPUTED_VALUE"""),"Impervious. Only damaged by magical sources.")</f>
        <v>Impervious. Only damaged by magical sources.</v>
      </c>
      <c r="R10" s="11"/>
      <c r="S10" s="11"/>
      <c r="T10" s="11"/>
      <c r="U10" s="11"/>
      <c r="V10" s="11"/>
      <c r="W10" s="11"/>
      <c r="X10" s="11"/>
      <c r="Y10" s="11"/>
      <c r="Z10" s="11"/>
      <c r="AA10" s="11"/>
      <c r="AB10" s="11"/>
    </row>
    <row r="11" ht="15.75" customHeight="1">
      <c r="A11" s="11" t="str">
        <f>IFERROR(__xludf.DUMMYFUNCTION("""COMPUTED_VALUE"""),"Ghast")</f>
        <v>Ghast</v>
      </c>
      <c r="B11" s="12">
        <f>IFERROR(__xludf.DUMMYFUNCTION("""COMPUTED_VALUE"""),2.0)</f>
        <v>2</v>
      </c>
      <c r="C11" s="11" t="str">
        <f>IFERROR(__xludf.DUMMYFUNCTION("""COMPUTED_VALUE"""),"CR")</f>
        <v>CR</v>
      </c>
      <c r="D11" s="11" t="str">
        <f>IFERROR(__xludf.DUMMYFUNCTION("""COMPUTED_VALUE"""),"Greater ghouls who retain the intelligence they had in life.")</f>
        <v>Greater ghouls who retain the intelligence they had in life.</v>
      </c>
      <c r="E11" s="11">
        <f>IFERROR(__xludf.DUMMYFUNCTION("""COMPUTED_VALUE"""),11.0)</f>
        <v>11</v>
      </c>
      <c r="F11" s="11">
        <f>IFERROR(__xludf.DUMMYFUNCTION("""COMPUTED_VALUE"""),20.0)</f>
        <v>20</v>
      </c>
      <c r="G11" s="11" t="str">
        <f>IFERROR(__xludf.DUMMYFUNCTION("""COMPUTED_VALUE"""),"2 claw +4 (1d8 + paralyze)")</f>
        <v>2 claw +4 (1d8 + paralyze)</v>
      </c>
      <c r="H11" s="11" t="str">
        <f>IFERROR(__xludf.DUMMYFUNCTION("""COMPUTED_VALUE"""),"near")</f>
        <v>near</v>
      </c>
      <c r="I11" s="11">
        <f>IFERROR(__xludf.DUMMYFUNCTION("""COMPUTED_VALUE"""),3.0)</f>
        <v>3</v>
      </c>
      <c r="J11" s="11">
        <f>IFERROR(__xludf.DUMMYFUNCTION("""COMPUTED_VALUE"""),1.0)</f>
        <v>1</v>
      </c>
      <c r="K11" s="11">
        <f>IFERROR(__xludf.DUMMYFUNCTION("""COMPUTED_VALUE"""),2.0)</f>
        <v>2</v>
      </c>
      <c r="L11" s="11">
        <f>IFERROR(__xludf.DUMMYFUNCTION("""COMPUTED_VALUE"""),0.0)</f>
        <v>0</v>
      </c>
      <c r="M11" s="11">
        <f>IFERROR(__xludf.DUMMYFUNCTION("""COMPUTED_VALUE"""),0.0)</f>
        <v>0</v>
      </c>
      <c r="N11" s="11">
        <f>IFERROR(__xludf.DUMMYFUNCTION("""COMPUTED_VALUE"""),2.0)</f>
        <v>2</v>
      </c>
      <c r="O11" s="11" t="str">
        <f>IFERROR(__xludf.DUMMYFUNCTION("""COMPUTED_VALUE"""),"C")</f>
        <v>C</v>
      </c>
      <c r="P11" s="13">
        <f>IFERROR(__xludf.DUMMYFUNCTION("""COMPUTED_VALUE"""),4.0)</f>
        <v>4</v>
      </c>
      <c r="Q11" s="11" t="str">
        <f>IFERROR(__xludf.DUMMYFUNCTION("""COMPUTED_VALUE"""),"Undead. Immune to morale checks.")</f>
        <v>Undead. Immune to morale checks.</v>
      </c>
      <c r="R11" s="11" t="str">
        <f>IFERROR(__xludf.DUMMYFUNCTION("""COMPUTED_VALUE"""),"Carrion Stench. Living creatures DC 12 CON the first time within near or DISADV on attacks and spellcasting for 5 rounds.")</f>
        <v>Carrion Stench. Living creatures DC 12 CON the first time within near or DISADV on attacks and spellcasting for 5 rounds.</v>
      </c>
      <c r="S11" s="11" t="str">
        <f>IFERROR(__xludf.DUMMYFUNCTION("""COMPUTED_VALUE"""),"Paralyze. DC 12 CON or paralyzed 1d4 rounds.")</f>
        <v>Paralyze. DC 12 CON or paralyzed 1d4 rounds.</v>
      </c>
      <c r="T11" s="11"/>
      <c r="U11" s="11"/>
      <c r="V11" s="11"/>
      <c r="W11" s="11"/>
      <c r="X11" s="11"/>
      <c r="Y11" s="11"/>
      <c r="Z11" s="11"/>
      <c r="AA11" s="11"/>
      <c r="AB11" s="11"/>
    </row>
    <row r="12" ht="15.75" customHeight="1">
      <c r="A12" s="11" t="str">
        <f>IFERROR(__xludf.DUMMYFUNCTION("""COMPUTED_VALUE"""),"Gibbering Mouther")</f>
        <v>Gibbering Mouther</v>
      </c>
      <c r="B12" s="12">
        <f>IFERROR(__xludf.DUMMYFUNCTION("""COMPUTED_VALUE"""),2.0)</f>
        <v>2</v>
      </c>
      <c r="C12" s="11" t="str">
        <f>IFERROR(__xludf.DUMMYFUNCTION("""COMPUTED_VALUE"""),"CR")</f>
        <v>CR</v>
      </c>
      <c r="D12" s="11" t="str">
        <f>IFERROR(__xludf.DUMMYFUNCTION("""COMPUTED_VALUE"""),"Crawling masses of slime with dozens of screeching, lipless mouths and wet eyeballs.")</f>
        <v>Crawling masses of slime with dozens of screeching, lipless mouths and wet eyeballs.</v>
      </c>
      <c r="E12" s="11">
        <f>IFERROR(__xludf.DUMMYFUNCTION("""COMPUTED_VALUE"""),8.0)</f>
        <v>8</v>
      </c>
      <c r="F12" s="11">
        <f>IFERROR(__xludf.DUMMYFUNCTION("""COMPUTED_VALUE"""),21.0)</f>
        <v>21</v>
      </c>
      <c r="G12" s="11" t="str">
        <f>IFERROR(__xludf.DUMMYFUNCTION("""COMPUTED_VALUE"""),"2 bite +3 (1d8 + latch)")</f>
        <v>2 bite +3 (1d8 + latch)</v>
      </c>
      <c r="H12" s="11" t="str">
        <f>IFERROR(__xludf.DUMMYFUNCTION("""COMPUTED_VALUE"""),"near (climb, swim)")</f>
        <v>near (climb, swim)</v>
      </c>
      <c r="I12" s="11">
        <f>IFERROR(__xludf.DUMMYFUNCTION("""COMPUTED_VALUE"""),2.0)</f>
        <v>2</v>
      </c>
      <c r="J12" s="11">
        <f>IFERROR(__xludf.DUMMYFUNCTION("""COMPUTED_VALUE"""),-2.0)</f>
        <v>-2</v>
      </c>
      <c r="K12" s="11">
        <f>IFERROR(__xludf.DUMMYFUNCTION("""COMPUTED_VALUE"""),3.0)</f>
        <v>3</v>
      </c>
      <c r="L12" s="11">
        <f>IFERROR(__xludf.DUMMYFUNCTION("""COMPUTED_VALUE"""),-3.0)</f>
        <v>-3</v>
      </c>
      <c r="M12" s="11">
        <f>IFERROR(__xludf.DUMMYFUNCTION("""COMPUTED_VALUE"""),0.0)</f>
        <v>0</v>
      </c>
      <c r="N12" s="11">
        <f>IFERROR(__xludf.DUMMYFUNCTION("""COMPUTED_VALUE"""),-3.0)</f>
        <v>-3</v>
      </c>
      <c r="O12" s="11" t="str">
        <f>IFERROR(__xludf.DUMMYFUNCTION("""COMPUTED_VALUE"""),"N")</f>
        <v>N</v>
      </c>
      <c r="P12" s="13">
        <f>IFERROR(__xludf.DUMMYFUNCTION("""COMPUTED_VALUE"""),4.0)</f>
        <v>4</v>
      </c>
      <c r="Q12" s="11" t="str">
        <f>IFERROR(__xludf.DUMMYFUNCTION("""COMPUTED_VALUE"""),"Gibbering. Creatures within near DC 12 WIS on turn or take a random action (d8): 1-3. do nothing, 4-5. move in random direction, 6-7. attack nearest creature, 8. flee.")</f>
        <v>Gibbering. Creatures within near DC 12 WIS on turn or take a random action (d8): 1-3. do nothing, 4-5. move in random direction, 6-7. attack nearest creature, 8. flee.</v>
      </c>
      <c r="R12" s="11" t="str">
        <f>IFERROR(__xludf.DUMMYFUNCTION("""COMPUTED_VALUE"""),"Latch. Attach to bitten target; bites auto-hit next round. DC 12 STR on turn to tear off.")</f>
        <v>Latch. Attach to bitten target; bites auto-hit next round. DC 12 STR on turn to tear off.</v>
      </c>
      <c r="S12" s="11"/>
      <c r="T12" s="11"/>
      <c r="U12" s="11"/>
      <c r="V12" s="11"/>
      <c r="W12" s="11"/>
      <c r="X12" s="11"/>
      <c r="Y12" s="11"/>
      <c r="Z12" s="11"/>
      <c r="AA12" s="11"/>
      <c r="AB12" s="11"/>
    </row>
    <row r="13" ht="15.75" customHeight="1">
      <c r="A13" s="11" t="str">
        <f>IFERROR(__xludf.DUMMYFUNCTION("""COMPUTED_VALUE"""),"Goblin, Boss")</f>
        <v>Goblin, Boss</v>
      </c>
      <c r="B13" s="12">
        <f>IFERROR(__xludf.DUMMYFUNCTION("""COMPUTED_VALUE"""),1.0)</f>
        <v>1</v>
      </c>
      <c r="C13" s="11" t="str">
        <f>IFERROR(__xludf.DUMMYFUNCTION("""COMPUTED_VALUE"""),"CR")</f>
        <v>CR</v>
      </c>
      <c r="D13" s="11" t="str">
        <f>IFERROR(__xludf.DUMMYFUNCTION("""COMPUTED_VALUE"""),"A scarred goblin with knotted muscles and a crown of iron.")</f>
        <v>A scarred goblin with knotted muscles and a crown of iron.</v>
      </c>
      <c r="E13" s="11">
        <f>IFERROR(__xludf.DUMMYFUNCTION("""COMPUTED_VALUE"""),14.0)</f>
        <v>14</v>
      </c>
      <c r="F13" s="11">
        <f>IFERROR(__xludf.DUMMYFUNCTION("""COMPUTED_VALUE"""),20.0)</f>
        <v>20</v>
      </c>
      <c r="G13" s="11" t="str">
        <f>IFERROR(__xludf.DUMMYFUNCTION("""COMPUTED_VALUE"""),"1 spear (close/near) +3 (1d6)")</f>
        <v>1 spear (close/near) +3 (1d6)</v>
      </c>
      <c r="H13" s="11" t="str">
        <f>IFERROR(__xludf.DUMMYFUNCTION("""COMPUTED_VALUE"""),"near")</f>
        <v>near</v>
      </c>
      <c r="I13" s="11">
        <f>IFERROR(__xludf.DUMMYFUNCTION("""COMPUTED_VALUE"""),2.0)</f>
        <v>2</v>
      </c>
      <c r="J13" s="11">
        <f>IFERROR(__xludf.DUMMYFUNCTION("""COMPUTED_VALUE"""),1.0)</f>
        <v>1</v>
      </c>
      <c r="K13" s="11">
        <f>IFERROR(__xludf.DUMMYFUNCTION("""COMPUTED_VALUE"""),2.0)</f>
        <v>2</v>
      </c>
      <c r="L13" s="11">
        <f>IFERROR(__xludf.DUMMYFUNCTION("""COMPUTED_VALUE"""),-1.0)</f>
        <v>-1</v>
      </c>
      <c r="M13" s="11">
        <f>IFERROR(__xludf.DUMMYFUNCTION("""COMPUTED_VALUE"""),0.0)</f>
        <v>0</v>
      </c>
      <c r="N13" s="11">
        <f>IFERROR(__xludf.DUMMYFUNCTION("""COMPUTED_VALUE"""),1.0)</f>
        <v>1</v>
      </c>
      <c r="O13" s="11" t="str">
        <f>IFERROR(__xludf.DUMMYFUNCTION("""COMPUTED_VALUE"""),"C")</f>
        <v>C</v>
      </c>
      <c r="P13" s="13">
        <f>IFERROR(__xludf.DUMMYFUNCTION("""COMPUTED_VALUE"""),4.0)</f>
        <v>4</v>
      </c>
      <c r="Q13" s="14" t="str">
        <f>IFERROR(__xludf.DUMMYFUNCTION("""COMPUTED_VALUE"""),"Keen Senses: Can't be surprised.")</f>
        <v>Keen Senses: Can't be surprised.</v>
      </c>
      <c r="R13" s="14"/>
      <c r="S13" s="14"/>
      <c r="T13" s="14"/>
      <c r="U13" s="14"/>
      <c r="V13" s="14"/>
      <c r="W13" s="11"/>
      <c r="X13" s="11"/>
      <c r="Y13" s="11"/>
      <c r="Z13" s="11"/>
      <c r="AA13" s="11"/>
      <c r="AB13" s="11"/>
    </row>
    <row r="14" ht="15.75" customHeight="1">
      <c r="A14" s="11" t="str">
        <f>IFERROR(__xludf.DUMMYFUNCTION("""COMPUTED_VALUE"""),"Goblin, Shaman")</f>
        <v>Goblin, Shaman</v>
      </c>
      <c r="B14" s="12">
        <f>IFERROR(__xludf.DUMMYFUNCTION("""COMPUTED_VALUE"""),2.0)</f>
        <v>2</v>
      </c>
      <c r="C14" s="11" t="str">
        <f>IFERROR(__xludf.DUMMYFUNCTION("""COMPUTED_VALUE"""),"CR")</f>
        <v>CR</v>
      </c>
      <c r="D14" s="11" t="str">
        <f>IFERROR(__xludf.DUMMYFUNCTION("""COMPUTED_VALUE"""),"A swaying, chanting goblin wearing necklaces of teeth and a")</f>
        <v>A swaying, chanting goblin wearing necklaces of teeth and a</v>
      </c>
      <c r="E14" s="11">
        <f>IFERROR(__xludf.DUMMYFUNCTION("""COMPUTED_VALUE"""),12.0)</f>
        <v>12</v>
      </c>
      <c r="F14" s="11">
        <f>IFERROR(__xludf.DUMMYFUNCTION("""COMPUTED_VALUE"""),19.0)</f>
        <v>19</v>
      </c>
      <c r="G14" s="11" t="str">
        <f>IFERROR(__xludf.DUMMYFUNCTION("""COMPUTED_VALUE"""),"1 staff +0 (1d4) or 1 spell +3")</f>
        <v>1 staff +0 (1d4) or 1 spell +3</v>
      </c>
      <c r="H14" s="11" t="str">
        <f>IFERROR(__xludf.DUMMYFUNCTION("""COMPUTED_VALUE"""),"near")</f>
        <v>near</v>
      </c>
      <c r="I14" s="11">
        <f>IFERROR(__xludf.DUMMYFUNCTION("""COMPUTED_VALUE"""),0.0)</f>
        <v>0</v>
      </c>
      <c r="J14" s="11">
        <f>IFERROR(__xludf.DUMMYFUNCTION("""COMPUTED_VALUE"""),1.0)</f>
        <v>1</v>
      </c>
      <c r="K14" s="11">
        <f>IFERROR(__xludf.DUMMYFUNCTION("""COMPUTED_VALUE"""),1.0)</f>
        <v>1</v>
      </c>
      <c r="L14" s="11">
        <f>IFERROR(__xludf.DUMMYFUNCTION("""COMPUTED_VALUE"""),0.0)</f>
        <v>0</v>
      </c>
      <c r="M14" s="11">
        <f>IFERROR(__xludf.DUMMYFUNCTION("""COMPUTED_VALUE"""),2.0)</f>
        <v>2</v>
      </c>
      <c r="N14" s="11">
        <f>IFERROR(__xludf.DUMMYFUNCTION("""COMPUTED_VALUE"""),1.0)</f>
        <v>1</v>
      </c>
      <c r="O14" s="11" t="str">
        <f>IFERROR(__xludf.DUMMYFUNCTION("""COMPUTED_VALUE"""),"C")</f>
        <v>C</v>
      </c>
      <c r="P14" s="13">
        <f>IFERROR(__xludf.DUMMYFUNCTION("""COMPUTED_VALUE"""),4.0)</f>
        <v>4</v>
      </c>
      <c r="Q14" s="11" t="str">
        <f>IFERROR(__xludf.DUMMYFUNCTION("""COMPUTED_VALUE"""),"Keen Senses: Can't be surprised.")</f>
        <v>Keen Senses: Can't be surprised.</v>
      </c>
      <c r="R14" s="11" t="str">
        <f>IFERROR(__xludf.DUMMYFUNCTION("""COMPUTED_VALUE"""),"Bug Brain (WIS Spell). DC 13. Near range, one target. Target's INT drops to 1 for 1d4 rounds.")</f>
        <v>Bug Brain (WIS Spell). DC 13. Near range, one target. Target's INT drops to 1 for 1d4 rounds.</v>
      </c>
      <c r="S14" s="11" t="str">
        <f>IFERROR(__xludf.DUMMYFUNCTION("""COMPUTED_VALUE"""),"Skitter (WIS Spell). DC 12. Self. Climb like a spider for 5 rounds.")</f>
        <v>Skitter (WIS Spell). DC 12. Self. Climb like a spider for 5 rounds.</v>
      </c>
      <c r="T14" s="11" t="str">
        <f>IFERROR(__xludf.DUMMYFUNCTION("""COMPUTED_VALUE"""),"Stink Bomb (WIS Spell). DC 12. One target within far range takes 2d4 damage and must make a DC 12 CON save or have DISADV on their next check/attack.")</f>
        <v>Stink Bomb (WIS Spell). DC 12. One target within far range takes 2d4 damage and must make a DC 12 CON save or have DISADV on their next check/attack.</v>
      </c>
      <c r="U14" s="11"/>
      <c r="V14" s="11"/>
      <c r="W14" s="11"/>
      <c r="X14" s="11"/>
      <c r="Y14" s="11"/>
      <c r="Z14" s="11"/>
      <c r="AA14" s="11"/>
      <c r="AB14" s="11"/>
    </row>
    <row r="15" ht="15.75" customHeight="1">
      <c r="A15" s="11" t="str">
        <f>IFERROR(__xludf.DUMMYFUNCTION("""COMPUTED_VALUE"""),"Gorilla")</f>
        <v>Gorilla</v>
      </c>
      <c r="B15" s="12" t="str">
        <f>IFERROR(__xludf.DUMMYFUNCTION("""COMPUTED_VALUE"""),"")</f>
        <v/>
      </c>
      <c r="C15" s="11" t="str">
        <f>IFERROR(__xludf.DUMMYFUNCTION("""COMPUTED_VALUE"""),"CR")</f>
        <v>CR</v>
      </c>
      <c r="D15" s="11" t="str">
        <f>IFERROR(__xludf.DUMMYFUNCTION("""COMPUTED_VALUE"""),"Mighty, jungle-dwelling apes.")</f>
        <v>Mighty, jungle-dwelling apes.</v>
      </c>
      <c r="E15" s="11">
        <f>IFERROR(__xludf.DUMMYFUNCTION("""COMPUTED_VALUE"""),12.0)</f>
        <v>12</v>
      </c>
      <c r="F15" s="11">
        <f>IFERROR(__xludf.DUMMYFUNCTION("""COMPUTED_VALUE"""),20.0)</f>
        <v>20</v>
      </c>
      <c r="G15" s="11" t="str">
        <f>IFERROR(__xludf.DUMMYFUNCTION("""COMPUTED_VALUE"""),"2 rend +5 (2d6)")</f>
        <v>2 rend +5 (2d6)</v>
      </c>
      <c r="H15" s="11" t="str">
        <f>IFERROR(__xludf.DUMMYFUNCTION("""COMPUTED_VALUE"""),"near (climb)")</f>
        <v>near (climb)</v>
      </c>
      <c r="I15" s="11">
        <f>IFERROR(__xludf.DUMMYFUNCTION("""COMPUTED_VALUE"""),4.0)</f>
        <v>4</v>
      </c>
      <c r="J15" s="11">
        <f>IFERROR(__xludf.DUMMYFUNCTION("""COMPUTED_VALUE"""),2.0)</f>
        <v>2</v>
      </c>
      <c r="K15" s="11">
        <f>IFERROR(__xludf.DUMMYFUNCTION("""COMPUTED_VALUE"""),2.0)</f>
        <v>2</v>
      </c>
      <c r="L15" s="11">
        <f>IFERROR(__xludf.DUMMYFUNCTION("""COMPUTED_VALUE"""),-1.0)</f>
        <v>-1</v>
      </c>
      <c r="M15" s="11">
        <f>IFERROR(__xludf.DUMMYFUNCTION("""COMPUTED_VALUE"""),1.0)</f>
        <v>1</v>
      </c>
      <c r="N15" s="11">
        <f>IFERROR(__xludf.DUMMYFUNCTION("""COMPUTED_VALUE"""),-1.0)</f>
        <v>-1</v>
      </c>
      <c r="O15" s="11" t="str">
        <f>IFERROR(__xludf.DUMMYFUNCTION("""COMPUTED_VALUE"""),"N")</f>
        <v>N</v>
      </c>
      <c r="P15" s="13">
        <f>IFERROR(__xludf.DUMMYFUNCTION("""COMPUTED_VALUE"""),4.0)</f>
        <v>4</v>
      </c>
      <c r="Q15" s="11"/>
      <c r="R15" s="11"/>
      <c r="S15" s="11"/>
      <c r="T15" s="11"/>
      <c r="U15" s="11"/>
      <c r="V15" s="11"/>
      <c r="W15" s="11"/>
      <c r="X15" s="11"/>
      <c r="Y15" s="11"/>
      <c r="Z15" s="11"/>
      <c r="AA15" s="11"/>
      <c r="AB15" s="11"/>
    </row>
    <row r="16" ht="15.75" customHeight="1">
      <c r="A16" s="11" t="str">
        <f>IFERROR(__xludf.DUMMYFUNCTION("""COMPUTED_VALUE"""),"Grick")</f>
        <v>Grick</v>
      </c>
      <c r="B16" s="12">
        <f>IFERROR(__xludf.DUMMYFUNCTION("""COMPUTED_VALUE"""),2.0)</f>
        <v>2</v>
      </c>
      <c r="C16" s="11" t="str">
        <f>IFERROR(__xludf.DUMMYFUNCTION("""COMPUTED_VALUE"""),"CR")</f>
        <v>CR</v>
      </c>
      <c r="D16" s="11" t="str">
        <f>IFERROR(__xludf.DUMMYFUNCTION("""COMPUTED_VALUE"""),"A huge worm with four suckered tentacles and a snapping beak.")</f>
        <v>A huge worm with four suckered tentacles and a snapping beak.</v>
      </c>
      <c r="E16" s="11">
        <f>IFERROR(__xludf.DUMMYFUNCTION("""COMPUTED_VALUE"""),14.0)</f>
        <v>14</v>
      </c>
      <c r="F16" s="11">
        <f>IFERROR(__xludf.DUMMYFUNCTION("""COMPUTED_VALUE"""),19.0)</f>
        <v>19</v>
      </c>
      <c r="G16" s="11" t="str">
        <f>IFERROR(__xludf.DUMMYFUNCTION("""COMPUTED_VALUE"""),"1 beak +3 (1d8) and 1 tentacle +3 (1d6 + grab)")</f>
        <v>1 beak +3 (1d8) and 1 tentacle +3 (1d6 + grab)</v>
      </c>
      <c r="H16" s="11" t="str">
        <f>IFERROR(__xludf.DUMMYFUNCTION("""COMPUTED_VALUE"""),"near (climb)")</f>
        <v>near (climb)</v>
      </c>
      <c r="I16" s="11">
        <f>IFERROR(__xludf.DUMMYFUNCTION("""COMPUTED_VALUE"""),3.0)</f>
        <v>3</v>
      </c>
      <c r="J16" s="11">
        <f>IFERROR(__xludf.DUMMYFUNCTION("""COMPUTED_VALUE"""),2.0)</f>
        <v>2</v>
      </c>
      <c r="K16" s="11">
        <f>IFERROR(__xludf.DUMMYFUNCTION("""COMPUTED_VALUE"""),1.0)</f>
        <v>1</v>
      </c>
      <c r="L16" s="11">
        <f>IFERROR(__xludf.DUMMYFUNCTION("""COMPUTED_VALUE"""),-3.0)</f>
        <v>-3</v>
      </c>
      <c r="M16" s="11">
        <f>IFERROR(__xludf.DUMMYFUNCTION("""COMPUTED_VALUE"""),1.0)</f>
        <v>1</v>
      </c>
      <c r="N16" s="11">
        <f>IFERROR(__xludf.DUMMYFUNCTION("""COMPUTED_VALUE"""),-3.0)</f>
        <v>-3</v>
      </c>
      <c r="O16" s="11" t="str">
        <f>IFERROR(__xludf.DUMMYFUNCTION("""COMPUTED_VALUE"""),"N")</f>
        <v>N</v>
      </c>
      <c r="P16" s="13">
        <f>IFERROR(__xludf.DUMMYFUNCTION("""COMPUTED_VALUE"""),4.0)</f>
        <v>4</v>
      </c>
      <c r="Q16" s="11" t="str">
        <f>IFERROR(__xludf.DUMMYFUNCTION("""COMPUTED_VALUE"""),"Camouflage. Hard to see in cave terrain or rocks.")</f>
        <v>Camouflage. Hard to see in cave terrain or rocks.</v>
      </c>
      <c r="R16" s="11" t="str">
        <f>IFERROR(__xludf.DUMMYFUNCTION("""COMPUTED_VALUE"""),"Grab. Target is immobilized. DC 15 Strength check on turn to break free.")</f>
        <v>Grab. Target is immobilized. DC 15 Strength check on turn to break free.</v>
      </c>
      <c r="S16" s="11"/>
      <c r="T16" s="11"/>
      <c r="U16" s="11"/>
      <c r="V16" s="11"/>
      <c r="W16" s="11"/>
      <c r="X16" s="11"/>
      <c r="Y16" s="11"/>
      <c r="Z16" s="11"/>
      <c r="AA16" s="11"/>
      <c r="AB16" s="11"/>
    </row>
    <row r="17" ht="15.75" customHeight="1">
      <c r="A17" s="11" t="str">
        <f>IFERROR(__xludf.DUMMYFUNCTION("""COMPUTED_VALUE"""),"Griffon")</f>
        <v>Griffon</v>
      </c>
      <c r="B17" s="12">
        <f>IFERROR(__xludf.DUMMYFUNCTION("""COMPUTED_VALUE"""),2.0)</f>
        <v>2</v>
      </c>
      <c r="C17" s="11" t="str">
        <f>IFERROR(__xludf.DUMMYFUNCTION("""COMPUTED_VALUE"""),"CR")</f>
        <v>CR</v>
      </c>
      <c r="D17" s="11" t="str">
        <f>IFERROR(__xludf.DUMMYFUNCTION("""COMPUTED_VALUE"""),"Winged hunters with the head of an eagle and body of a lion. Their favored food is horses.")</f>
        <v>Winged hunters with the head of an eagle and body of a lion. Their favored food is horses.</v>
      </c>
      <c r="E17" s="11">
        <f>IFERROR(__xludf.DUMMYFUNCTION("""COMPUTED_VALUE"""),12.0)</f>
        <v>12</v>
      </c>
      <c r="F17" s="11">
        <f>IFERROR(__xludf.DUMMYFUNCTION("""COMPUTED_VALUE"""),19.0)</f>
        <v>19</v>
      </c>
      <c r="G17" s="11" t="str">
        <f>IFERROR(__xludf.DUMMYFUNCTION("""COMPUTED_VALUE"""),"2 rend +4 (1d10)")</f>
        <v>2 rend +4 (1d10)</v>
      </c>
      <c r="H17" s="11" t="str">
        <f>IFERROR(__xludf.DUMMYFUNCTION("""COMPUTED_VALUE"""),"double near (fly)")</f>
        <v>double near (fly)</v>
      </c>
      <c r="I17" s="11">
        <f>IFERROR(__xludf.DUMMYFUNCTION("""COMPUTED_VALUE"""),4.0)</f>
        <v>4</v>
      </c>
      <c r="J17" s="11">
        <f>IFERROR(__xludf.DUMMYFUNCTION("""COMPUTED_VALUE"""),2.0)</f>
        <v>2</v>
      </c>
      <c r="K17" s="11">
        <f>IFERROR(__xludf.DUMMYFUNCTION("""COMPUTED_VALUE"""),1.0)</f>
        <v>1</v>
      </c>
      <c r="L17" s="11">
        <f>IFERROR(__xludf.DUMMYFUNCTION("""COMPUTED_VALUE"""),-3.0)</f>
        <v>-3</v>
      </c>
      <c r="M17" s="11">
        <f>IFERROR(__xludf.DUMMYFUNCTION("""COMPUTED_VALUE"""),1.0)</f>
        <v>1</v>
      </c>
      <c r="N17" s="11">
        <f>IFERROR(__xludf.DUMMYFUNCTION("""COMPUTED_VALUE"""),-1.0)</f>
        <v>-1</v>
      </c>
      <c r="O17" s="11" t="str">
        <f>IFERROR(__xludf.DUMMYFUNCTION("""COMPUTED_VALUE"""),"N")</f>
        <v>N</v>
      </c>
      <c r="P17" s="13">
        <f>IFERROR(__xludf.DUMMYFUNCTION("""COMPUTED_VALUE"""),4.0)</f>
        <v>4</v>
      </c>
      <c r="Q17" s="11"/>
      <c r="R17" s="11"/>
      <c r="S17" s="11"/>
      <c r="T17" s="11"/>
      <c r="U17" s="11"/>
      <c r="V17" s="11"/>
      <c r="W17" s="11"/>
      <c r="X17" s="11"/>
      <c r="Y17" s="11"/>
      <c r="Z17" s="11"/>
      <c r="AA17" s="11"/>
      <c r="AB17" s="11"/>
    </row>
    <row r="18" ht="15.75" customHeight="1">
      <c r="A18" s="11" t="str">
        <f>IFERROR(__xludf.DUMMYFUNCTION("""COMPUTED_VALUE"""),"Hell Hound")</f>
        <v>Hell Hound</v>
      </c>
      <c r="B18" s="12">
        <f>IFERROR(__xludf.DUMMYFUNCTION("""COMPUTED_VALUE"""),3.0)</f>
        <v>3</v>
      </c>
      <c r="C18" s="11" t="str">
        <f>IFERROR(__xludf.DUMMYFUNCTION("""COMPUTED_VALUE"""),"CR")</f>
        <v>CR</v>
      </c>
      <c r="D18" s="11" t="str">
        <f>IFERROR(__xludf.DUMMYFUNCTION("""COMPUTED_VALUE"""),"Black wolfhounds with red eyes and jaws dripping with flames.")</f>
        <v>Black wolfhounds with red eyes and jaws dripping with flames.</v>
      </c>
      <c r="E18" s="11">
        <f>IFERROR(__xludf.DUMMYFUNCTION("""COMPUTED_VALUE"""),13.0)</f>
        <v>13</v>
      </c>
      <c r="F18" s="11">
        <f>IFERROR(__xludf.DUMMYFUNCTION("""COMPUTED_VALUE"""),19.0)</f>
        <v>19</v>
      </c>
      <c r="G18" s="11" t="str">
        <f>IFERROR(__xludf.DUMMYFUNCTION("""COMPUTED_VALUE"""),"2 bite +4 (1d8) or 1 fire breath")</f>
        <v>2 bite +4 (1d8) or 1 fire breath</v>
      </c>
      <c r="H18" s="11" t="str">
        <f>IFERROR(__xludf.DUMMYFUNCTION("""COMPUTED_VALUE"""),"double near")</f>
        <v>double near</v>
      </c>
      <c r="I18" s="11">
        <f>IFERROR(__xludf.DUMMYFUNCTION("""COMPUTED_VALUE"""),2.0)</f>
        <v>2</v>
      </c>
      <c r="J18" s="11">
        <f>IFERROR(__xludf.DUMMYFUNCTION("""COMPUTED_VALUE"""),1.0)</f>
        <v>1</v>
      </c>
      <c r="K18" s="11">
        <f>IFERROR(__xludf.DUMMYFUNCTION("""COMPUTED_VALUE"""),1.0)</f>
        <v>1</v>
      </c>
      <c r="L18" s="11">
        <f>IFERROR(__xludf.DUMMYFUNCTION("""COMPUTED_VALUE"""),-2.0)</f>
        <v>-2</v>
      </c>
      <c r="M18" s="11">
        <f>IFERROR(__xludf.DUMMYFUNCTION("""COMPUTED_VALUE"""),1.0)</f>
        <v>1</v>
      </c>
      <c r="N18" s="11">
        <f>IFERROR(__xludf.DUMMYFUNCTION("""COMPUTED_VALUE"""),-3.0)</f>
        <v>-3</v>
      </c>
      <c r="O18" s="11" t="str">
        <f>IFERROR(__xludf.DUMMYFUNCTION("""COMPUTED_VALUE"""),"C")</f>
        <v>C</v>
      </c>
      <c r="P18" s="13">
        <f>IFERROR(__xludf.DUMMYFUNCTION("""COMPUTED_VALUE"""),4.0)</f>
        <v>4</v>
      </c>
      <c r="Q18" s="11" t="str">
        <f>IFERROR(__xludf.DUMMYFUNCTION("""COMPUTED_VALUE"""),"Impervious. Fire immune. ")</f>
        <v>Impervious. Fire immune. </v>
      </c>
      <c r="R18" s="11" t="str">
        <f>IFERROR(__xludf.DUMMYFUNCTION("""COMPUTED_VALUE"""),"Fire Breath. Fills a near-sized cube extending from hell hound. DC 15 DEX or 3d8 damage. Cannot use again for 1d4 rounds.")</f>
        <v>Fire Breath. Fills a near-sized cube extending from hell hound. DC 15 DEX or 3d8 damage. Cannot use again for 1d4 rounds.</v>
      </c>
      <c r="S18" s="11"/>
      <c r="T18" s="11"/>
      <c r="U18" s="11"/>
      <c r="V18" s="11"/>
      <c r="W18" s="11"/>
      <c r="X18" s="11"/>
      <c r="Y18" s="11"/>
      <c r="Z18" s="11"/>
      <c r="AA18" s="11"/>
      <c r="AB18" s="11"/>
    </row>
    <row r="19" ht="15.75" customHeight="1">
      <c r="A19" s="11" t="str">
        <f>IFERROR(__xludf.DUMMYFUNCTION("""COMPUTED_VALUE"""),"Leprechaun")</f>
        <v>Leprechaun</v>
      </c>
      <c r="B19" s="12">
        <f>IFERROR(__xludf.DUMMYFUNCTION("""COMPUTED_VALUE"""),4.0)</f>
        <v>4</v>
      </c>
      <c r="C19" s="11" t="str">
        <f>IFERROR(__xludf.DUMMYFUNCTION("""COMPUTED_VALUE"""),"CR")</f>
        <v>CR</v>
      </c>
      <c r="D19" s="11" t="str">
        <f>IFERROR(__xludf.DUMMYFUNCTION("""COMPUTED_VALUE"""),"Impish fey who favor green garb and love fooling ""tall folk"" with promises of gold.")</f>
        <v>Impish fey who favor green garb and love fooling "tall folk" with promises of gold.</v>
      </c>
      <c r="E19" s="11">
        <f>IFERROR(__xludf.DUMMYFUNCTION("""COMPUTED_VALUE"""),13.0)</f>
        <v>13</v>
      </c>
      <c r="F19" s="11">
        <f>IFERROR(__xludf.DUMMYFUNCTION("""COMPUTED_VALUE"""),19.0)</f>
        <v>19</v>
      </c>
      <c r="G19" s="11" t="str">
        <f>IFERROR(__xludf.DUMMYFUNCTION("""COMPUTED_VALUE"""),"1 spell +4")</f>
        <v>1 spell +4</v>
      </c>
      <c r="H19" s="11" t="str">
        <f>IFERROR(__xludf.DUMMYFUNCTION("""COMPUTED_VALUE"""),"near")</f>
        <v>near</v>
      </c>
      <c r="I19" s="11">
        <f>IFERROR(__xludf.DUMMYFUNCTION("""COMPUTED_VALUE"""),1.0)</f>
        <v>1</v>
      </c>
      <c r="J19" s="11">
        <f>IFERROR(__xludf.DUMMYFUNCTION("""COMPUTED_VALUE"""),3.0)</f>
        <v>3</v>
      </c>
      <c r="K19" s="11">
        <f>IFERROR(__xludf.DUMMYFUNCTION("""COMPUTED_VALUE"""),1.0)</f>
        <v>1</v>
      </c>
      <c r="L19" s="11">
        <f>IFERROR(__xludf.DUMMYFUNCTION("""COMPUTED_VALUE"""),2.0)</f>
        <v>2</v>
      </c>
      <c r="M19" s="11">
        <f>IFERROR(__xludf.DUMMYFUNCTION("""COMPUTED_VALUE"""),1.0)</f>
        <v>1</v>
      </c>
      <c r="N19" s="11">
        <f>IFERROR(__xludf.DUMMYFUNCTION("""COMPUTED_VALUE"""),3.0)</f>
        <v>3</v>
      </c>
      <c r="O19" s="11" t="str">
        <f>IFERROR(__xludf.DUMMYFUNCTION("""COMPUTED_VALUE"""),"N")</f>
        <v>N</v>
      </c>
      <c r="P19" s="13">
        <f>IFERROR(__xludf.DUMMYFUNCTION("""COMPUTED_VALUE"""),4.0)</f>
        <v>4</v>
      </c>
      <c r="Q19" s="11" t="str">
        <f>IFERROR(__xludf.DUMMYFUNCTION("""COMPUTED_VALUE"""),"Alert. Cannot be surprised.")</f>
        <v>Alert. Cannot be surprised.</v>
      </c>
      <c r="R19" s="11" t="str">
        <f>IFERROR(__xludf.DUMMYFUNCTION("""COMPUTED_VALUE"""),"Slippery. Hostile spells targeting the leprechaun are DC 15 to cast.")</f>
        <v>Slippery. Hostile spells targeting the leprechaun are DC 15 to cast.</v>
      </c>
      <c r="S19" s="11" t="str">
        <f>IFERROR(__xludf.DUMMYFUNCTION("""COMPUTED_VALUE"""),"Fool's Gold (CHA Spell). DC 12. Close. One small object or small group of similar objects. Turn objects into silver or gold pieces. Lasts 1 day.")</f>
        <v>Fool's Gold (CHA Spell). DC 12. Close. One small object or small group of similar objects. Turn objects into silver or gold pieces. Lasts 1 day.</v>
      </c>
      <c r="T19" s="11" t="str">
        <f>IFERROR(__xludf.DUMMYFUNCTION("""COMPUTED_VALUE"""),"Illusion (CHA Spell). DC 11. Create a convincing visual and/or auditory illusion within near. Lasts until dismissed.")</f>
        <v>Illusion (CHA Spell). DC 11. Create a convincing visual and/or auditory illusion within near. Lasts until dismissed.</v>
      </c>
      <c r="U19" s="11" t="str">
        <f>IFERROR(__xludf.DUMMYFUNCTION("""COMPUTED_VALUE"""),"Invisibility (CHA Spell). DC 12. Self. Become invisible for 2d4 rounds.")</f>
        <v>Invisibility (CHA Spell). DC 12. Self. Become invisible for 2d4 rounds.</v>
      </c>
      <c r="V19" s="11"/>
      <c r="W19" s="11"/>
      <c r="X19" s="11"/>
      <c r="Y19" s="11"/>
      <c r="Z19" s="11"/>
      <c r="AA19" s="11"/>
      <c r="AB19" s="11"/>
    </row>
    <row r="20" ht="15.75" customHeight="1">
      <c r="A20" s="11" t="str">
        <f>IFERROR(__xludf.DUMMYFUNCTION("""COMPUTED_VALUE"""),"Moose")</f>
        <v>Moose</v>
      </c>
      <c r="B20" s="12" t="str">
        <f>IFERROR(__xludf.DUMMYFUNCTION("""COMPUTED_VALUE"""),"")</f>
        <v/>
      </c>
      <c r="C20" s="11" t="str">
        <f>IFERROR(__xludf.DUMMYFUNCTION("""COMPUTED_VALUE"""),"CR")</f>
        <v>CR</v>
      </c>
      <c r="D20" s="11" t="str">
        <f>IFERROR(__xludf.DUMMYFUNCTION("""COMPUTED_VALUE"""),"A towering, brown-haired grazer with weighty, flat antlers.")</f>
        <v>A towering, brown-haired grazer with weighty, flat antlers.</v>
      </c>
      <c r="E20" s="11">
        <f>IFERROR(__xludf.DUMMYFUNCTION("""COMPUTED_VALUE"""),11.0)</f>
        <v>11</v>
      </c>
      <c r="F20" s="11">
        <f>IFERROR(__xludf.DUMMYFUNCTION("""COMPUTED_VALUE"""),19.0)</f>
        <v>19</v>
      </c>
      <c r="G20" s="11" t="str">
        <f>IFERROR(__xludf.DUMMYFUNCTION("""COMPUTED_VALUE"""),"2 antler +3 (1d6)")</f>
        <v>2 antler +3 (1d6)</v>
      </c>
      <c r="H20" s="11" t="str">
        <f>IFERROR(__xludf.DUMMYFUNCTION("""COMPUTED_VALUE"""),"double near")</f>
        <v>double near</v>
      </c>
      <c r="I20" s="11">
        <f>IFERROR(__xludf.DUMMYFUNCTION("""COMPUTED_VALUE"""),3.0)</f>
        <v>3</v>
      </c>
      <c r="J20" s="11">
        <f>IFERROR(__xludf.DUMMYFUNCTION("""COMPUTED_VALUE"""),0.0)</f>
        <v>0</v>
      </c>
      <c r="K20" s="11">
        <f>IFERROR(__xludf.DUMMYFUNCTION("""COMPUTED_VALUE"""),1.0)</f>
        <v>1</v>
      </c>
      <c r="L20" s="11">
        <f>IFERROR(__xludf.DUMMYFUNCTION("""COMPUTED_VALUE"""),-2.0)</f>
        <v>-2</v>
      </c>
      <c r="M20" s="11">
        <f>IFERROR(__xludf.DUMMYFUNCTION("""COMPUTED_VALUE"""),0.0)</f>
        <v>0</v>
      </c>
      <c r="N20" s="11">
        <f>IFERROR(__xludf.DUMMYFUNCTION("""COMPUTED_VALUE"""),-2.0)</f>
        <v>-2</v>
      </c>
      <c r="O20" s="11" t="str">
        <f>IFERROR(__xludf.DUMMYFUNCTION("""COMPUTED_VALUE"""),"N")</f>
        <v>N</v>
      </c>
      <c r="P20" s="13">
        <f>IFERROR(__xludf.DUMMYFUNCTION("""COMPUTED_VALUE"""),4.0)</f>
        <v>4</v>
      </c>
      <c r="Q20" s="11"/>
      <c r="R20" s="11"/>
      <c r="S20" s="11"/>
      <c r="T20" s="11"/>
      <c r="U20" s="11"/>
      <c r="V20" s="11"/>
      <c r="W20" s="11"/>
      <c r="X20" s="11"/>
      <c r="Y20" s="11"/>
      <c r="Z20" s="11"/>
      <c r="AA20" s="11"/>
      <c r="AB20" s="11"/>
    </row>
    <row r="21" ht="15.75" customHeight="1">
      <c r="A21" s="11" t="str">
        <f>IFERROR(__xludf.DUMMYFUNCTION("""COMPUTED_VALUE"""),"Ochre Jelly")</f>
        <v>Ochre Jelly</v>
      </c>
      <c r="B21" s="12">
        <f>IFERROR(__xludf.DUMMYFUNCTION("""COMPUTED_VALUE"""),2.0)</f>
        <v>2</v>
      </c>
      <c r="C21" s="11" t="str">
        <f>IFERROR(__xludf.DUMMYFUNCTION("""COMPUTED_VALUE"""),"CR")</f>
        <v>CR</v>
      </c>
      <c r="D21" s="11" t="str">
        <f>IFERROR(__xludf.DUMMYFUNCTION("""COMPUTED_VALUE"""),"An orange puddle of quivering slime.")</f>
        <v>An orange puddle of quivering slime.</v>
      </c>
      <c r="E21" s="11">
        <f>IFERROR(__xludf.DUMMYFUNCTION("""COMPUTED_VALUE"""),9.0)</f>
        <v>9</v>
      </c>
      <c r="F21" s="11" t="str">
        <f>IFERROR(__xludf.DUMMYFUNCTION("""COMPUTED_VALUE"""),"20")</f>
        <v>20</v>
      </c>
      <c r="G21" s="11" t="str">
        <f>IFERROR(__xludf.DUMMYFUNCTION("""COMPUTED_VALUE"""),"2 tentacle +3 (1d6)")</f>
        <v>2 tentacle +3 (1d6)</v>
      </c>
      <c r="H21" s="11" t="str">
        <f>IFERROR(__xludf.DUMMYFUNCTION("""COMPUTED_VALUE"""),"near (climb)")</f>
        <v>near (climb)</v>
      </c>
      <c r="I21" s="11" t="str">
        <f>IFERROR(__xludf.DUMMYFUNCTION("""COMPUTED_VALUE"""),"2")</f>
        <v>2</v>
      </c>
      <c r="J21" s="11">
        <f>IFERROR(__xludf.DUMMYFUNCTION("""COMPUTED_VALUE"""),-1.0)</f>
        <v>-1</v>
      </c>
      <c r="K21" s="11" t="str">
        <f>IFERROR(__xludf.DUMMYFUNCTION("""COMPUTED_VALUE"""),"2")</f>
        <v>2</v>
      </c>
      <c r="L21" s="11">
        <f>IFERROR(__xludf.DUMMYFUNCTION("""COMPUTED_VALUE"""),-4.0)</f>
        <v>-4</v>
      </c>
      <c r="M21" s="11">
        <f>IFERROR(__xludf.DUMMYFUNCTION("""COMPUTED_VALUE"""),-3.0)</f>
        <v>-3</v>
      </c>
      <c r="N21" s="11">
        <f>IFERROR(__xludf.DUMMYFUNCTION("""COMPUTED_VALUE"""),-4.0)</f>
        <v>-4</v>
      </c>
      <c r="O21" s="11" t="str">
        <f>IFERROR(__xludf.DUMMYFUNCTION("""COMPUTED_VALUE"""),"N")</f>
        <v>N</v>
      </c>
      <c r="P21" s="13">
        <f>IFERROR(__xludf.DUMMYFUNCTION("""COMPUTED_VALUE"""),4.0)</f>
        <v>4</v>
      </c>
      <c r="Q21" s="11" t="str">
        <f>IFERROR(__xludf.DUMMYFUNCTION("""COMPUTED_VALUE"""),"Split. If cut or chopped, split into two smaller oozes (divide remaining HP between both). Can split up to four times.")</f>
        <v>Split. If cut or chopped, split into two smaller oozes (divide remaining HP between both). Can split up to four times.</v>
      </c>
      <c r="R21" s="11"/>
      <c r="S21" s="11"/>
      <c r="T21" s="11"/>
      <c r="U21" s="11"/>
      <c r="V21" s="11"/>
      <c r="W21" s="11"/>
      <c r="X21" s="11"/>
      <c r="Y21" s="11"/>
      <c r="Z21" s="11"/>
      <c r="AA21" s="11"/>
      <c r="AB21" s="11"/>
    </row>
    <row r="22" ht="15.75" customHeight="1">
      <c r="A22" s="11" t="str">
        <f>IFERROR(__xludf.DUMMYFUNCTION("""COMPUTED_VALUE"""),"Orc, Chieftain")</f>
        <v>Orc, Chieftain</v>
      </c>
      <c r="B22" s="12">
        <f>IFERROR(__xludf.DUMMYFUNCTION("""COMPUTED_VALUE"""),4.0)</f>
        <v>4</v>
      </c>
      <c r="C22" s="11" t="str">
        <f>IFERROR(__xludf.DUMMYFUNCTION("""COMPUTED_VALUE"""),"CR")</f>
        <v>CR</v>
      </c>
      <c r="D22" s="11" t="str">
        <f>IFERROR(__xludf.DUMMYFUNCTION("""COMPUTED_VALUE"""),"An imposing orc with scars crisscrossing its body.")</f>
        <v>An imposing orc with scars crisscrossing its body.</v>
      </c>
      <c r="E22" s="11">
        <f>IFERROR(__xludf.DUMMYFUNCTION("""COMPUTED_VALUE"""),14.0)</f>
        <v>14</v>
      </c>
      <c r="F22" s="11">
        <f>IFERROR(__xludf.DUMMYFUNCTION("""COMPUTED_VALUE"""),19.0)</f>
        <v>19</v>
      </c>
      <c r="G22" s="11" t="str">
        <f>IFERROR(__xludf.DUMMYFUNCTION("""COMPUTED_VALUE"""),"2 greataxe +4 (1d10)")</f>
        <v>2 greataxe +4 (1d10)</v>
      </c>
      <c r="H22" s="11" t="str">
        <f>IFERROR(__xludf.DUMMYFUNCTION("""COMPUTED_VALUE"""),"near")</f>
        <v>near</v>
      </c>
      <c r="I22" s="11">
        <f>IFERROR(__xludf.DUMMYFUNCTION("""COMPUTED_VALUE"""),2.0)</f>
        <v>2</v>
      </c>
      <c r="J22" s="11">
        <f>IFERROR(__xludf.DUMMYFUNCTION("""COMPUTED_VALUE"""),1.0)</f>
        <v>1</v>
      </c>
      <c r="K22" s="11">
        <f>IFERROR(__xludf.DUMMYFUNCTION("""COMPUTED_VALUE"""),1.0)</f>
        <v>1</v>
      </c>
      <c r="L22" s="11">
        <f>IFERROR(__xludf.DUMMYFUNCTION("""COMPUTED_VALUE"""),-1.0)</f>
        <v>-1</v>
      </c>
      <c r="M22" s="11">
        <f>IFERROR(__xludf.DUMMYFUNCTION("""COMPUTED_VALUE"""),0.0)</f>
        <v>0</v>
      </c>
      <c r="N22" s="11">
        <f>IFERROR(__xludf.DUMMYFUNCTION("""COMPUTED_VALUE"""),-1.0)</f>
        <v>-1</v>
      </c>
      <c r="O22" s="11" t="str">
        <f>IFERROR(__xludf.DUMMYFUNCTION("""COMPUTED_VALUE"""),"C")</f>
        <v>C</v>
      </c>
      <c r="P22" s="13">
        <f>IFERROR(__xludf.DUMMYFUNCTION("""COMPUTED_VALUE"""),4.0)</f>
        <v>4</v>
      </c>
      <c r="Q22" s="11" t="str">
        <f>IFERROR(__xludf.DUMMYFUNCTION("""COMPUTED_VALUE"""),"Rage. 1/day, immune to morale checks, +1d4 damage (3 rounds).")</f>
        <v>Rage. 1/day, immune to morale checks, +1d4 damage (3 rounds).</v>
      </c>
      <c r="R22" s="11"/>
      <c r="S22" s="11"/>
      <c r="T22" s="11"/>
      <c r="U22" s="11"/>
      <c r="V22" s="11"/>
      <c r="W22" s="11"/>
      <c r="X22" s="11"/>
      <c r="Y22" s="11"/>
      <c r="Z22" s="11"/>
      <c r="AA22" s="11"/>
      <c r="AB22" s="11"/>
    </row>
    <row r="23" ht="15.75" customHeight="1">
      <c r="A23" s="11" t="str">
        <f>IFERROR(__xludf.DUMMYFUNCTION("""COMPUTED_VALUE"""),"Rust Monster")</f>
        <v>Rust Monster</v>
      </c>
      <c r="B23" s="12">
        <f>IFERROR(__xludf.DUMMYFUNCTION("""COMPUTED_VALUE"""),0.5)</f>
        <v>0.5</v>
      </c>
      <c r="C23" s="11" t="str">
        <f>IFERROR(__xludf.DUMMYFUNCTION("""COMPUTED_VALUE"""),"CR")</f>
        <v>CR</v>
      </c>
      <c r="D23" s="11" t="str">
        <f>IFERROR(__xludf.DUMMYFUNCTION("""COMPUTED_VALUE"""),"A mud-brown insect as big as a wolf with two feathery antennae. Consumes metal.")</f>
        <v>A mud-brown insect as big as a wolf with two feathery antennae. Consumes metal.</v>
      </c>
      <c r="E23" s="11">
        <f>IFERROR(__xludf.DUMMYFUNCTION("""COMPUTED_VALUE"""),13.0)</f>
        <v>13</v>
      </c>
      <c r="F23" s="11">
        <f>IFERROR(__xludf.DUMMYFUNCTION("""COMPUTED_VALUE"""),19.0)</f>
        <v>19</v>
      </c>
      <c r="G23" s="11" t="str">
        <f>IFERROR(__xludf.DUMMYFUNCTION("""COMPUTED_VALUE"""),"2 claw +3 (1d6)")</f>
        <v>2 claw +3 (1d6)</v>
      </c>
      <c r="H23" s="11" t="str">
        <f>IFERROR(__xludf.DUMMYFUNCTION("""COMPUTED_VALUE"""),"near (climb)")</f>
        <v>near (climb)</v>
      </c>
      <c r="I23" s="11">
        <f>IFERROR(__xludf.DUMMYFUNCTION("""COMPUTED_VALUE"""),2.0)</f>
        <v>2</v>
      </c>
      <c r="J23" s="11">
        <f>IFERROR(__xludf.DUMMYFUNCTION("""COMPUTED_VALUE"""),3.0)</f>
        <v>3</v>
      </c>
      <c r="K23" s="11">
        <f>IFERROR(__xludf.DUMMYFUNCTION("""COMPUTED_VALUE"""),1.0)</f>
        <v>1</v>
      </c>
      <c r="L23" s="11">
        <f>IFERROR(__xludf.DUMMYFUNCTION("""COMPUTED_VALUE"""),-3.0)</f>
        <v>-3</v>
      </c>
      <c r="M23" s="11">
        <f>IFERROR(__xludf.DUMMYFUNCTION("""COMPUTED_VALUE"""),1.0)</f>
        <v>1</v>
      </c>
      <c r="N23" s="11">
        <f>IFERROR(__xludf.DUMMYFUNCTION("""COMPUTED_VALUE"""),-3.0)</f>
        <v>-3</v>
      </c>
      <c r="O23" s="11" t="str">
        <f>IFERROR(__xludf.DUMMYFUNCTION("""COMPUTED_VALUE"""),"N")</f>
        <v>N</v>
      </c>
      <c r="P23" s="13">
        <f>IFERROR(__xludf.DUMMYFUNCTION("""COMPUTED_VALUE"""),4.0)</f>
        <v>4</v>
      </c>
      <c r="Q23" s="11" t="str">
        <f>IFERROR(__xludf.DUMMYFUNCTION("""COMPUTED_VALUE"""),"Corrosive. Metal that touches the rust monster is destroyed on a d6 roll of 1-3.")</f>
        <v>Corrosive. Metal that touches the rust monster is destroyed on a d6 roll of 1-3.</v>
      </c>
      <c r="R23" s="11"/>
      <c r="S23" s="11"/>
      <c r="T23" s="11"/>
      <c r="U23" s="11"/>
      <c r="V23" s="11"/>
      <c r="W23" s="11"/>
      <c r="X23" s="11"/>
      <c r="Y23" s="11"/>
      <c r="Z23" s="11"/>
      <c r="AA23" s="11"/>
      <c r="AB23" s="11"/>
    </row>
    <row r="24" ht="15.75" customHeight="1">
      <c r="A24" s="11" t="str">
        <f>IFERROR(__xludf.DUMMYFUNCTION("""COMPUTED_VALUE"""),"Shambling Mound")</f>
        <v>Shambling Mound</v>
      </c>
      <c r="B24" s="12">
        <f>IFERROR(__xludf.DUMMYFUNCTION("""COMPUTED_VALUE"""),5.0)</f>
        <v>5</v>
      </c>
      <c r="C24" s="11" t="str">
        <f>IFERROR(__xludf.DUMMYFUNCTION("""COMPUTED_VALUE"""),"CR")</f>
        <v>CR</v>
      </c>
      <c r="D24" s="11" t="str">
        <f>IFERROR(__xludf.DUMMYFUNCTION("""COMPUTED_VALUE"""),"Fetid piles of slimy vegetation animated to life by lightning.")</f>
        <v>Fetid piles of slimy vegetation animated to life by lightning.</v>
      </c>
      <c r="E24" s="11">
        <f>IFERROR(__xludf.DUMMYFUNCTION("""COMPUTED_VALUE"""),14.0)</f>
        <v>14</v>
      </c>
      <c r="F24" s="11" t="str">
        <f>IFERROR(__xludf.DUMMYFUNCTION("""COMPUTED_VALUE"""),"20")</f>
        <v>20</v>
      </c>
      <c r="G24" s="14" t="str">
        <f>IFERROR(__xludf.DUMMYFUNCTION("""COMPUTED_VALUE"""),"2 slam +3 (1d6 + engulf)")</f>
        <v>2 slam +3 (1d6 + engulf)</v>
      </c>
      <c r="H24" s="11" t="str">
        <f>IFERROR(__xludf.DUMMYFUNCTION("""COMPUTED_VALUE"""),"near")</f>
        <v>near</v>
      </c>
      <c r="I24" s="11" t="str">
        <f>IFERROR(__xludf.DUMMYFUNCTION("""COMPUTED_VALUE"""),"3")</f>
        <v>3</v>
      </c>
      <c r="J24" s="11" t="str">
        <f>IFERROR(__xludf.DUMMYFUNCTION("""COMPUTED_VALUE"""),"-2")</f>
        <v>-2</v>
      </c>
      <c r="K24" s="11" t="str">
        <f>IFERROR(__xludf.DUMMYFUNCTION("""COMPUTED_VALUE"""),"2")</f>
        <v>2</v>
      </c>
      <c r="L24" s="11" t="str">
        <f>IFERROR(__xludf.DUMMYFUNCTION("""COMPUTED_VALUE"""),"-3")</f>
        <v>-3</v>
      </c>
      <c r="M24" s="11" t="str">
        <f>IFERROR(__xludf.DUMMYFUNCTION("""COMPUTED_VALUE"""),"0")</f>
        <v>0</v>
      </c>
      <c r="N24" s="11" t="str">
        <f>IFERROR(__xludf.DUMMYFUNCTION("""COMPUTED_VALUE"""),"-3")</f>
        <v>-3</v>
      </c>
      <c r="O24" s="11" t="str">
        <f>IFERROR(__xludf.DUMMYFUNCTION("""COMPUTED_VALUE"""),"N")</f>
        <v>N</v>
      </c>
      <c r="P24" s="13">
        <f>IFERROR(__xludf.DUMMYFUNCTION("""COMPUTED_VALUE"""),4.0)</f>
        <v>4</v>
      </c>
      <c r="Q24" s="11" t="str">
        <f>IFERROR(__xludf.DUMMYFUNCTION("""COMPUTED_VALUE"""),"Impervious. Fire immune. Healed by electricity.")</f>
        <v>Impervious. Fire immune. Healed by electricity.</v>
      </c>
      <c r="R24" s="11" t="str">
        <f>IFERROR(__xludf.DUMMYFUNCTION("""COMPUTED_VALUE"""),"Engulf. If a target is hit by both slams in same round, it is pulled into shambling mound's body and suffocates in 2d4 rounds. DC 15 STR on turn to escape.")</f>
        <v>Engulf. If a target is hit by both slams in same round, it is pulled into shambling mound's body and suffocates in 2d4 rounds. DC 15 STR on turn to escape.</v>
      </c>
      <c r="S24" s="11"/>
      <c r="T24" s="11"/>
      <c r="U24" s="11"/>
      <c r="V24" s="11"/>
      <c r="W24" s="11"/>
      <c r="X24" s="11"/>
      <c r="Y24" s="11"/>
      <c r="Z24" s="11"/>
      <c r="AA24" s="11"/>
      <c r="AB24" s="11"/>
    </row>
    <row r="25" ht="15.75" customHeight="1">
      <c r="A25" s="11" t="str">
        <f>IFERROR(__xludf.DUMMYFUNCTION("""COMPUTED_VALUE"""),"Siren")</f>
        <v>Siren</v>
      </c>
      <c r="B25" s="12" t="str">
        <f>IFERROR(__xludf.DUMMYFUNCTION("""COMPUTED_VALUE"""),"")</f>
        <v/>
      </c>
      <c r="C25" s="11" t="str">
        <f>IFERROR(__xludf.DUMMYFUNCTION("""COMPUTED_VALUE"""),"CR")</f>
        <v>CR</v>
      </c>
      <c r="D25" s="11" t="str">
        <f>IFERROR(__xludf.DUMMYFUNCTION("""COMPUTED_VALUE"""),"Baleful fey with dove wings and iridescent fish scales. Their singing entrances listeners.")</f>
        <v>Baleful fey with dove wings and iridescent fish scales. Their singing entrances listeners.</v>
      </c>
      <c r="E25" s="11">
        <f>IFERROR(__xludf.DUMMYFUNCTION("""COMPUTED_VALUE"""),12.0)</f>
        <v>12</v>
      </c>
      <c r="F25" s="11" t="str">
        <f>IFERROR(__xludf.DUMMYFUNCTION("""COMPUTED_VALUE"""),"18")</f>
        <v>18</v>
      </c>
      <c r="G25" s="11" t="str">
        <f>IFERROR(__xludf.DUMMYFUNCTION("""COMPUTED_VALUE"""),"2 claw +2 (1d6) or 1 song")</f>
        <v>2 claw +2 (1d6) or 1 song</v>
      </c>
      <c r="H25" s="11" t="str">
        <f>IFERROR(__xludf.DUMMYFUNCTION("""COMPUTED_VALUE"""),"near (swim, fly)")</f>
        <v>near (swim, fly)</v>
      </c>
      <c r="I25" s="11" t="str">
        <f>IFERROR(__xludf.DUMMYFUNCTION("""COMPUTED_VALUE"""),"0")</f>
        <v>0</v>
      </c>
      <c r="J25" s="11" t="str">
        <f>IFERROR(__xludf.DUMMYFUNCTION("""COMPUTED_VALUE"""),"2")</f>
        <v>2</v>
      </c>
      <c r="K25" s="11" t="str">
        <f>IFERROR(__xludf.DUMMYFUNCTION("""COMPUTED_VALUE"""),"0")</f>
        <v>0</v>
      </c>
      <c r="L25" s="11" t="str">
        <f>IFERROR(__xludf.DUMMYFUNCTION("""COMPUTED_VALUE"""),"2")</f>
        <v>2</v>
      </c>
      <c r="M25" s="11" t="str">
        <f>IFERROR(__xludf.DUMMYFUNCTION("""COMPUTED_VALUE"""),"2")</f>
        <v>2</v>
      </c>
      <c r="N25" s="11" t="str">
        <f>IFERROR(__xludf.DUMMYFUNCTION("""COMPUTED_VALUE"""),"4")</f>
        <v>4</v>
      </c>
      <c r="O25" s="11" t="str">
        <f>IFERROR(__xludf.DUMMYFUNCTION("""COMPUTED_VALUE"""),"C")</f>
        <v>C</v>
      </c>
      <c r="P25" s="13">
        <f>IFERROR(__xludf.DUMMYFUNCTION("""COMPUTED_VALUE"""),4.0)</f>
        <v>4</v>
      </c>
      <c r="Q25" s="11" t="str">
        <f>IFERROR(__xludf.DUMMYFUNCTION("""COMPUTED_VALUE"""),"Song. Enemies who can hear within double near DC 15 CHA or paralyzed 1d4 rounds. Immune for 1 day if passed check.")</f>
        <v>Song. Enemies who can hear within double near DC 15 CHA or paralyzed 1d4 rounds. Immune for 1 day if passed check.</v>
      </c>
      <c r="R25" s="11"/>
      <c r="S25" s="11"/>
      <c r="T25" s="11"/>
      <c r="U25" s="11"/>
      <c r="V25" s="11"/>
      <c r="W25" s="11"/>
      <c r="X25" s="11"/>
      <c r="Y25" s="11"/>
      <c r="Z25" s="11"/>
      <c r="AA25" s="11"/>
      <c r="AB25" s="11"/>
    </row>
    <row r="26" ht="15.75" customHeight="1">
      <c r="A26" s="11" t="str">
        <f>IFERROR(__xludf.DUMMYFUNCTION("""COMPUTED_VALUE"""),"Snake, Swarm")</f>
        <v>Snake, Swarm</v>
      </c>
      <c r="B26" s="12">
        <f>IFERROR(__xludf.DUMMYFUNCTION("""COMPUTED_VALUE"""),2.0)</f>
        <v>2</v>
      </c>
      <c r="C26" s="11" t="str">
        <f>IFERROR(__xludf.DUMMYFUNCTION("""COMPUTED_VALUE"""),"CR")</f>
        <v>CR</v>
      </c>
      <c r="D26" s="11" t="str">
        <f>IFERROR(__xludf.DUMMYFUNCTION("""COMPUTED_VALUE"""),"A roiling wave of snakes darting and flowing across the ground.")</f>
        <v>A roiling wave of snakes darting and flowing across the ground.</v>
      </c>
      <c r="E26" s="11">
        <f>IFERROR(__xludf.DUMMYFUNCTION("""COMPUTED_VALUE"""),12.0)</f>
        <v>12</v>
      </c>
      <c r="F26" s="11">
        <f>IFERROR(__xludf.DUMMYFUNCTION("""COMPUTED_VALUE"""),19.0)</f>
        <v>19</v>
      </c>
      <c r="G26" s="11" t="str">
        <f>IFERROR(__xludf.DUMMYFUNCTION("""COMPUTED_VALUE"""),"3 bite +2 (1d4 + poison)")</f>
        <v>3 bite +2 (1d4 + poison)</v>
      </c>
      <c r="H26" s="11" t="str">
        <f>IFERROR(__xludf.DUMMYFUNCTION("""COMPUTED_VALUE"""),"near")</f>
        <v>near</v>
      </c>
      <c r="I26" s="11">
        <f>IFERROR(__xludf.DUMMYFUNCTION("""COMPUTED_VALUE"""),-3.0)</f>
        <v>-3</v>
      </c>
      <c r="J26" s="11">
        <f>IFERROR(__xludf.DUMMYFUNCTION("""COMPUTED_VALUE"""),2.0)</f>
        <v>2</v>
      </c>
      <c r="K26" s="11">
        <f>IFERROR(__xludf.DUMMYFUNCTION("""COMPUTED_VALUE"""),1.0)</f>
        <v>1</v>
      </c>
      <c r="L26" s="11">
        <f>IFERROR(__xludf.DUMMYFUNCTION("""COMPUTED_VALUE"""),-3.0)</f>
        <v>-3</v>
      </c>
      <c r="M26" s="11">
        <f>IFERROR(__xludf.DUMMYFUNCTION("""COMPUTED_VALUE"""),0.0)</f>
        <v>0</v>
      </c>
      <c r="N26" s="11">
        <f>IFERROR(__xludf.DUMMYFUNCTION("""COMPUTED_VALUE"""),-3.0)</f>
        <v>-3</v>
      </c>
      <c r="O26" s="11" t="str">
        <f>IFERROR(__xludf.DUMMYFUNCTION("""COMPUTED_VALUE"""),"N")</f>
        <v>N</v>
      </c>
      <c r="P26" s="13">
        <f>IFERROR(__xludf.DUMMYFUNCTION("""COMPUTED_VALUE"""),4.0)</f>
        <v>4</v>
      </c>
      <c r="Q26" s="11" t="str">
        <f>IFERROR(__xludf.DUMMYFUNCTION("""COMPUTED_VALUE"""),"Poison. DC 12 CON or go to 0 HP in 1d4 rounds.")</f>
        <v>Poison. DC 12 CON or go to 0 HP in 1d4 rounds.</v>
      </c>
      <c r="R26" s="11"/>
      <c r="S26" s="11"/>
      <c r="T26" s="11"/>
      <c r="U26" s="11"/>
      <c r="V26" s="11"/>
      <c r="W26" s="11"/>
      <c r="X26" s="11"/>
      <c r="Y26" s="11"/>
      <c r="Z26" s="11"/>
      <c r="AA26" s="11"/>
      <c r="AB26" s="11"/>
    </row>
    <row r="27" ht="15.75" customHeight="1">
      <c r="A27" s="11" t="str">
        <f>IFERROR(__xludf.DUMMYFUNCTION("""COMPUTED_VALUE"""),"Unicorn")</f>
        <v>Unicorn</v>
      </c>
      <c r="B27" s="15">
        <f>IFERROR(__xludf.DUMMYFUNCTION("""COMPUTED_VALUE"""),5.0)</f>
        <v>5</v>
      </c>
      <c r="C27" s="11" t="str">
        <f>IFERROR(__xludf.DUMMYFUNCTION("""COMPUTED_VALUE"""),"CR")</f>
        <v>CR</v>
      </c>
      <c r="D27" s="11" t="str">
        <f>IFERROR(__xludf.DUMMYFUNCTION("""COMPUTED_VALUE"""),"A silvery horse with a flowing mane and a single spiral horn.")</f>
        <v>A silvery horse with a flowing mane and a single spiral horn.</v>
      </c>
      <c r="E27" s="11">
        <f>IFERROR(__xludf.DUMMYFUNCTION("""COMPUTED_VALUE"""),12.0)</f>
        <v>12</v>
      </c>
      <c r="F27" s="11">
        <f>IFERROR(__xludf.DUMMYFUNCTION("""COMPUTED_VALUE"""),20.0)</f>
        <v>20</v>
      </c>
      <c r="G27" s="14" t="str">
        <f>IFERROR(__xludf.DUMMYFUNCTION("""COMPUTED_VALUE"""),"1 hooves +3 (1d6)")</f>
        <v>1 hooves +3 (1d6)</v>
      </c>
      <c r="H27" s="11" t="str">
        <f>IFERROR(__xludf.DUMMYFUNCTION("""COMPUTED_VALUE"""),"double near")</f>
        <v>double near</v>
      </c>
      <c r="I27" s="11">
        <f>IFERROR(__xludf.DUMMYFUNCTION("""COMPUTED_VALUE"""),3.0)</f>
        <v>3</v>
      </c>
      <c r="J27" s="11">
        <f>IFERROR(__xludf.DUMMYFUNCTION("""COMPUTED_VALUE"""),2.0)</f>
        <v>2</v>
      </c>
      <c r="K27" s="11">
        <f>IFERROR(__xludf.DUMMYFUNCTION("""COMPUTED_VALUE"""),2.0)</f>
        <v>2</v>
      </c>
      <c r="L27" s="11">
        <f>IFERROR(__xludf.DUMMYFUNCTION("""COMPUTED_VALUE"""),1.0)</f>
        <v>1</v>
      </c>
      <c r="M27" s="11">
        <f>IFERROR(__xludf.DUMMYFUNCTION("""COMPUTED_VALUE"""),2.0)</f>
        <v>2</v>
      </c>
      <c r="N27" s="11">
        <f>IFERROR(__xludf.DUMMYFUNCTION("""COMPUTED_VALUE"""),3.0)</f>
        <v>3</v>
      </c>
      <c r="O27" s="11" t="str">
        <f>IFERROR(__xludf.DUMMYFUNCTION("""COMPUTED_VALUE"""),"L")</f>
        <v>L</v>
      </c>
      <c r="P27" s="13">
        <f>IFERROR(__xludf.DUMMYFUNCTION("""COMPUTED_VALUE"""),4.0)</f>
        <v>4</v>
      </c>
      <c r="Q27" s="11" t="str">
        <f>IFERROR(__xludf.DUMMYFUNCTION("""COMPUTED_VALUE"""),"Healing Horn. A touch heals 2d6 HP or ends one curse or disease.")</f>
        <v>Healing Horn. A touch heals 2d6 HP or ends one curse or disease.</v>
      </c>
      <c r="R27" s="11"/>
      <c r="S27" s="11"/>
      <c r="T27" s="11"/>
      <c r="U27" s="11"/>
      <c r="V27" s="11"/>
      <c r="W27" s="11"/>
      <c r="X27" s="11"/>
      <c r="Y27" s="11"/>
      <c r="Z27" s="11"/>
      <c r="AA27" s="11"/>
      <c r="AB27" s="11"/>
    </row>
    <row r="28" ht="15.75" customHeight="1">
      <c r="A28" s="11" t="str">
        <f>IFERROR(__xludf.DUMMYFUNCTION("""COMPUTED_VALUE"""),"Werewolf")</f>
        <v>Werewolf</v>
      </c>
      <c r="B28" s="12">
        <f>IFERROR(__xludf.DUMMYFUNCTION("""COMPUTED_VALUE"""),3.0)</f>
        <v>3</v>
      </c>
      <c r="C28" s="11" t="str">
        <f>IFERROR(__xludf.DUMMYFUNCTION("""COMPUTED_VALUE"""),"CR")</f>
        <v>CR</v>
      </c>
      <c r="D28" s="11" t="str">
        <f>IFERROR(__xludf.DUMMYFUNCTION("""COMPUTED_VALUE"""),"A bipedal, wolf-faced humanoid covered in brown fur.")</f>
        <v>A bipedal, wolf-faced humanoid covered in brown fur.</v>
      </c>
      <c r="E28" s="11">
        <f>IFERROR(__xludf.DUMMYFUNCTION("""COMPUTED_VALUE"""),12.0)</f>
        <v>12</v>
      </c>
      <c r="F28" s="11">
        <f>IFERROR(__xludf.DUMMYFUNCTION("""COMPUTED_VALUE"""),20.0)</f>
        <v>20</v>
      </c>
      <c r="G28" s="11" t="str">
        <f>IFERROR(__xludf.DUMMYFUNCTION("""COMPUTED_VALUE"""),"2 rend +3 (1d6)")</f>
        <v>2 rend +3 (1d6)</v>
      </c>
      <c r="H28" s="11" t="str">
        <f>IFERROR(__xludf.DUMMYFUNCTION("""COMPUTED_VALUE"""),"double near")</f>
        <v>double near</v>
      </c>
      <c r="I28" s="11">
        <f>IFERROR(__xludf.DUMMYFUNCTION("""COMPUTED_VALUE"""),3.0)</f>
        <v>3</v>
      </c>
      <c r="J28" s="11">
        <f>IFERROR(__xludf.DUMMYFUNCTION("""COMPUTED_VALUE"""),2.0)</f>
        <v>2</v>
      </c>
      <c r="K28" s="11">
        <f>IFERROR(__xludf.DUMMYFUNCTION("""COMPUTED_VALUE"""),2.0)</f>
        <v>2</v>
      </c>
      <c r="L28" s="11">
        <f>IFERROR(__xludf.DUMMYFUNCTION("""COMPUTED_VALUE"""),0.0)</f>
        <v>0</v>
      </c>
      <c r="M28" s="11">
        <f>IFERROR(__xludf.DUMMYFUNCTION("""COMPUTED_VALUE"""),1.0)</f>
        <v>1</v>
      </c>
      <c r="N28" s="11">
        <f>IFERROR(__xludf.DUMMYFUNCTION("""COMPUTED_VALUE"""),0.0)</f>
        <v>0</v>
      </c>
      <c r="O28" s="11" t="str">
        <f>IFERROR(__xludf.DUMMYFUNCTION("""COMPUTED_VALUE"""),"C")</f>
        <v>C</v>
      </c>
      <c r="P28" s="13">
        <f>IFERROR(__xludf.DUMMYFUNCTION("""COMPUTED_VALUE"""),4.0)</f>
        <v>4</v>
      </c>
      <c r="Q28" s="11" t="str">
        <f>IFERROR(__xludf.DUMMYFUNCTION("""COMPUTED_VALUE"""),"Impervious. Only damaged by silver or magic sources.")</f>
        <v>Impervious. Only damaged by silver or magic sources.</v>
      </c>
      <c r="R28" s="11" t="str">
        <f>IFERROR(__xludf.DUMMYFUNCTION("""COMPUTED_VALUE"""),"Lycanthropy. If 12 or more damage from the same werewolf, contract lycanthropy.")</f>
        <v>Lycanthropy. If 12 or more damage from the same werewolf, contract lycanthropy.</v>
      </c>
      <c r="S28" s="11"/>
      <c r="T28" s="11"/>
      <c r="U28" s="11"/>
      <c r="V28" s="11"/>
      <c r="W28" s="11"/>
      <c r="X28" s="11"/>
      <c r="Y28" s="11"/>
      <c r="Z28" s="11"/>
      <c r="AA28" s="11"/>
      <c r="AB28" s="11"/>
    </row>
    <row r="29" ht="15.75" customHeight="1">
      <c r="A29" s="11" t="str">
        <f>IFERROR(__xludf.DUMMYFUNCTION("""COMPUTED_VALUE"""),"Wolf, Dire")</f>
        <v>Wolf, Dire</v>
      </c>
      <c r="B29" s="12">
        <f>IFERROR(__xludf.DUMMYFUNCTION("""COMPUTED_VALUE"""),1.0)</f>
        <v>1</v>
      </c>
      <c r="C29" s="11" t="str">
        <f>IFERROR(__xludf.DUMMYFUNCTION("""COMPUTED_VALUE"""),"CR")</f>
        <v>CR</v>
      </c>
      <c r="D29" s="16" t="str">
        <f>IFERROR(__xludf.DUMMYFUNCTION("""COMPUTED_VALUE"""),"A massive wolf with spines of black bone along its brow ridge and back.")</f>
        <v>A massive wolf with spines of black bone along its brow ridge and back.</v>
      </c>
      <c r="E29" s="11">
        <f>IFERROR(__xludf.DUMMYFUNCTION("""COMPUTED_VALUE"""),12.0)</f>
        <v>12</v>
      </c>
      <c r="F29" s="11">
        <f>IFERROR(__xludf.DUMMYFUNCTION("""COMPUTED_VALUE"""),19.0)</f>
        <v>19</v>
      </c>
      <c r="G29" s="11" t="str">
        <f>IFERROR(__xludf.DUMMYFUNCTION("""COMPUTED_VALUE"""),"2 bite +4 (1d8)")</f>
        <v>2 bite +4 (1d8)</v>
      </c>
      <c r="H29" s="11" t="str">
        <f>IFERROR(__xludf.DUMMYFUNCTION("""COMPUTED_VALUE"""),"double near")</f>
        <v>double near</v>
      </c>
      <c r="I29" s="11">
        <f>IFERROR(__xludf.DUMMYFUNCTION("""COMPUTED_VALUE"""),3.0)</f>
        <v>3</v>
      </c>
      <c r="J29" s="11">
        <f>IFERROR(__xludf.DUMMYFUNCTION("""COMPUTED_VALUE"""),2.0)</f>
        <v>2</v>
      </c>
      <c r="K29" s="11">
        <f>IFERROR(__xludf.DUMMYFUNCTION("""COMPUTED_VALUE"""),1.0)</f>
        <v>1</v>
      </c>
      <c r="L29" s="11">
        <f>IFERROR(__xludf.DUMMYFUNCTION("""COMPUTED_VALUE"""),-1.0)</f>
        <v>-1</v>
      </c>
      <c r="M29" s="11">
        <f>IFERROR(__xludf.DUMMYFUNCTION("""COMPUTED_VALUE"""),1.0)</f>
        <v>1</v>
      </c>
      <c r="N29" s="11">
        <f>IFERROR(__xludf.DUMMYFUNCTION("""COMPUTED_VALUE"""),0.0)</f>
        <v>0</v>
      </c>
      <c r="O29" s="11" t="str">
        <f>IFERROR(__xludf.DUMMYFUNCTION("""COMPUTED_VALUE"""),"N")</f>
        <v>N</v>
      </c>
      <c r="P29" s="13">
        <f>IFERROR(__xludf.DUMMYFUNCTION("""COMPUTED_VALUE"""),4.0)</f>
        <v>4</v>
      </c>
      <c r="Q29" s="11" t="str">
        <f>IFERROR(__xludf.DUMMYFUNCTION("""COMPUTED_VALUE"""),"Pack Hunter. Deals +1 damage while next to an ally.")</f>
        <v>Pack Hunter. Deals +1 damage while next to an ally.</v>
      </c>
      <c r="R29" s="11"/>
      <c r="S29" s="11"/>
      <c r="T29" s="11"/>
      <c r="U29" s="11"/>
      <c r="V29" s="11"/>
      <c r="W29" s="11"/>
      <c r="X29" s="11"/>
      <c r="Y29" s="11"/>
      <c r="Z29" s="11"/>
      <c r="AA29" s="11"/>
      <c r="AB29" s="11"/>
    </row>
  </sheetData>
  <customSheetViews>
    <customSheetView guid="{6B2E9E35-D6A1-4749-95F2-2658A691119A}" filter="1" showAutoFilter="1">
      <autoFilter ref="$A$1:$AB$29">
        <filterColumn colId="2">
          <filters/>
        </filterColumn>
      </autoFilter>
    </customSheetView>
    <customSheetView guid="{4FEF9F0C-4236-4853-B093-88FE2289FD26}" filter="1" showAutoFilter="1">
      <autoFilter ref="$A$1:$AB$29">
        <filterColumn colId="2">
          <filters>
            <filter val="CR"/>
          </filters>
        </filterColumn>
      </autoFilter>
    </customSheetView>
    <customSheetView guid="{7B4FF760-C879-4C05-8F10-45D59B7E7C3E}" filter="1" showAutoFilter="1">
      <autoFilter ref="$A$1:$AB$29">
        <filterColumn colId="2">
          <filters/>
        </filterColumn>
      </autoFilter>
    </customSheetView>
    <customSheetView guid="{51DCF084-7C01-403C-9896-1E7742DCA6B3}" filter="1" showAutoFilter="1">
      <autoFilter ref="$A$1:$AB$29"/>
    </customSheetView>
    <customSheetView guid="{7904D927-A127-473C-8B57-4EE1C7E3FAE9}" filter="1" showAutoFilter="1">
      <autoFilter ref="$A$1:$AB$29">
        <filterColumn colId="2">
          <filters/>
        </filterColumn>
      </autoFilter>
    </customSheetView>
    <customSheetView guid="{5CDEC3B1-201F-4BAD-941F-A80E62A04015}" filter="1" showAutoFilter="1">
      <autoFilter ref="$A$1:$AB$29">
        <filterColumn colId="2">
          <filters/>
        </filterColumn>
      </autoFilter>
    </customSheetView>
  </customSheetView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IFERROR(__xludf.DUMMYFUNCTION("FILTER(All!A5:Z18, All!P5:P18 = 5)
"),"Basilisk")</f>
        <v>Basilisk</v>
      </c>
      <c r="B2" s="12">
        <f>IFERROR(__xludf.DUMMYFUNCTION("""COMPUTED_VALUE"""),3.0)</f>
        <v>3</v>
      </c>
      <c r="C2" s="11" t="str">
        <f>IFERROR(__xludf.DUMMYFUNCTION("""COMPUTED_VALUE"""),"CR")</f>
        <v>CR</v>
      </c>
      <c r="D2" s="11" t="str">
        <f>IFERROR(__xludf.DUMMYFUNCTION("""COMPUTED_VALUE"""),"Massive, muscled lizards with six legs and gray, tough hide.")</f>
        <v>Massive, muscled lizards with six legs and gray, tough hide.</v>
      </c>
      <c r="E2" s="11">
        <f>IFERROR(__xludf.DUMMYFUNCTION("""COMPUTED_VALUE"""),14.0)</f>
        <v>14</v>
      </c>
      <c r="F2" s="11">
        <f>IFERROR(__xludf.DUMMYFUNCTION("""COMPUTED_VALUE"""),25.0)</f>
        <v>25</v>
      </c>
      <c r="G2" s="11" t="str">
        <f>IFERROR(__xludf.DUMMYFUNCTION("""COMPUTED_VALUE"""),"2 bite +4 (2d6 + petrify)")</f>
        <v>2 bite +4 (2d6 + petrify)</v>
      </c>
      <c r="H2" s="11" t="str">
        <f>IFERROR(__xludf.DUMMYFUNCTION("""COMPUTED_VALUE"""),"near")</f>
        <v>near</v>
      </c>
      <c r="I2" s="11">
        <f>IFERROR(__xludf.DUMMYFUNCTION("""COMPUTED_VALUE"""),3.0)</f>
        <v>3</v>
      </c>
      <c r="J2" s="11">
        <f>IFERROR(__xludf.DUMMYFUNCTION("""COMPUTED_VALUE"""),1.0)</f>
        <v>1</v>
      </c>
      <c r="K2" s="11">
        <f>IFERROR(__xludf.DUMMYFUNCTION("""COMPUTED_VALUE"""),3.0)</f>
        <v>3</v>
      </c>
      <c r="L2" s="11">
        <f>IFERROR(__xludf.DUMMYFUNCTION("""COMPUTED_VALUE"""),-3.0)</f>
        <v>-3</v>
      </c>
      <c r="M2" s="11">
        <f>IFERROR(__xludf.DUMMYFUNCTION("""COMPUTED_VALUE"""),1.0)</f>
        <v>1</v>
      </c>
      <c r="N2" s="11">
        <f>IFERROR(__xludf.DUMMYFUNCTION("""COMPUTED_VALUE"""),-3.0)</f>
        <v>-3</v>
      </c>
      <c r="O2" s="11" t="str">
        <f>IFERROR(__xludf.DUMMYFUNCTION("""COMPUTED_VALUE"""),"N")</f>
        <v>N</v>
      </c>
      <c r="P2" s="13">
        <f>IFERROR(__xludf.DUMMYFUNCTION("""COMPUTED_VALUE"""),5.0)</f>
        <v>5</v>
      </c>
      <c r="Q2" s="11" t="str">
        <f>IFERROR(__xludf.DUMMYFUNCTION("""COMPUTED_VALUE"""),"Petrify. Any creature that touches the basilisk or meets its gaze, DC 15 CON or petrified.")</f>
        <v>Petrify. Any creature that touches the basilisk or meets its gaze, DC 15 CON or petrified.</v>
      </c>
      <c r="R2" s="11"/>
      <c r="S2" s="11"/>
      <c r="T2" s="11"/>
      <c r="U2" s="11"/>
      <c r="V2" s="11"/>
      <c r="W2" s="11"/>
      <c r="X2" s="11"/>
      <c r="Y2" s="11"/>
      <c r="Z2" s="11"/>
      <c r="AA2" s="11"/>
      <c r="AB2" s="11"/>
    </row>
    <row r="3" ht="15.75" customHeight="1">
      <c r="A3" s="11" t="str">
        <f>IFERROR(__xludf.DUMMYFUNCTION("""COMPUTED_VALUE"""),"Bear, Brown")</f>
        <v>Bear, Brown</v>
      </c>
      <c r="B3" s="12">
        <f>IFERROR(__xludf.DUMMYFUNCTION("""COMPUTED_VALUE"""),1.0)</f>
        <v>1</v>
      </c>
      <c r="C3" s="11" t="str">
        <f>IFERROR(__xludf.DUMMYFUNCTION("""COMPUTED_VALUE"""),"CR")</f>
        <v>CR</v>
      </c>
      <c r="D3" s="11" t="str">
        <f>IFERROR(__xludf.DUMMYFUNCTION("""COMPUTED_VALUE"""),"A hulking, swaying brute with claws as long as a finger.")</f>
        <v>A hulking, swaying brute with claws as long as a finger.</v>
      </c>
      <c r="E3" s="11">
        <f>IFERROR(__xludf.DUMMYFUNCTION("""COMPUTED_VALUE"""),13.0)</f>
        <v>13</v>
      </c>
      <c r="F3" s="11">
        <f>IFERROR(__xludf.DUMMYFUNCTION("""COMPUTED_VALUE"""),25.0)</f>
        <v>25</v>
      </c>
      <c r="G3" s="11" t="str">
        <f>IFERROR(__xludf.DUMMYFUNCTION("""COMPUTED_VALUE"""),"2 claw +4 (1d8)")</f>
        <v>2 claw +4 (1d8)</v>
      </c>
      <c r="H3" s="11" t="str">
        <f>IFERROR(__xludf.DUMMYFUNCTION("""COMPUTED_VALUE"""),"near (climb)")</f>
        <v>near (climb)</v>
      </c>
      <c r="I3" s="11">
        <f>IFERROR(__xludf.DUMMYFUNCTION("""COMPUTED_VALUE"""),4.0)</f>
        <v>4</v>
      </c>
      <c r="J3" s="11">
        <f>IFERROR(__xludf.DUMMYFUNCTION("""COMPUTED_VALUE"""),1.0)</f>
        <v>1</v>
      </c>
      <c r="K3" s="11">
        <f>IFERROR(__xludf.DUMMYFUNCTION("""COMPUTED_VALUE"""),3.0)</f>
        <v>3</v>
      </c>
      <c r="L3" s="11">
        <f>IFERROR(__xludf.DUMMYFUNCTION("""COMPUTED_VALUE"""),-2.0)</f>
        <v>-2</v>
      </c>
      <c r="M3" s="11">
        <f>IFERROR(__xludf.DUMMYFUNCTION("""COMPUTED_VALUE"""),1.0)</f>
        <v>1</v>
      </c>
      <c r="N3" s="11">
        <f>IFERROR(__xludf.DUMMYFUNCTION("""COMPUTED_VALUE"""),-2.0)</f>
        <v>-2</v>
      </c>
      <c r="O3" s="11" t="str">
        <f>IFERROR(__xludf.DUMMYFUNCTION("""COMPUTED_VALUE"""),"N")</f>
        <v>N</v>
      </c>
      <c r="P3" s="13">
        <f>IFERROR(__xludf.DUMMYFUNCTION("""COMPUTED_VALUE"""),5.0)</f>
        <v>5</v>
      </c>
      <c r="Q3" s="11" t="str">
        <f>IFERROR(__xludf.DUMMYFUNCTION("""COMPUTED_VALUE"""),"Crush. Deals an extra die of damage if it hits the same target with both claws.")</f>
        <v>Crush. Deals an extra die of damage if it hits the same target with both claws.</v>
      </c>
      <c r="R3" s="11"/>
      <c r="S3" s="11"/>
      <c r="T3" s="11"/>
      <c r="U3" s="11"/>
      <c r="V3" s="11"/>
      <c r="W3" s="11"/>
      <c r="X3" s="11"/>
      <c r="Y3" s="11"/>
      <c r="Z3" s="11"/>
      <c r="AA3" s="11"/>
      <c r="AB3" s="11"/>
    </row>
    <row r="4" ht="15.75" customHeight="1">
      <c r="A4" s="11" t="str">
        <f>IFERROR(__xludf.DUMMYFUNCTION("""COMPUTED_VALUE"""),"Chuul")</f>
        <v>Chuul</v>
      </c>
      <c r="B4" s="12">
        <f>IFERROR(__xludf.DUMMYFUNCTION("""COMPUTED_VALUE"""),4.0)</f>
        <v>4</v>
      </c>
      <c r="C4" s="11" t="str">
        <f>IFERROR(__xludf.DUMMYFUNCTION("""COMPUTED_VALUE"""),"CR")</f>
        <v>CR</v>
      </c>
      <c r="D4" s="11" t="str">
        <f>IFERROR(__xludf.DUMMYFUNCTION("""COMPUTED_VALUE"""),"Brown, horse-sized lobster bugs with tentacles and pincers.")</f>
        <v>Brown, horse-sized lobster bugs with tentacles and pincers.</v>
      </c>
      <c r="E4" s="11">
        <f>IFERROR(__xludf.DUMMYFUNCTION("""COMPUTED_VALUE"""),15.0)</f>
        <v>15</v>
      </c>
      <c r="F4" s="11">
        <f>IFERROR(__xludf.DUMMYFUNCTION("""COMPUTED_VALUE"""),25.0)</f>
        <v>25</v>
      </c>
      <c r="G4" s="11" t="str">
        <f>IFERROR(__xludf.DUMMYFUNCTION("""COMPUTED_VALUE"""),"2 pincer +4 (1d8 + grab)")</f>
        <v>2 pincer +4 (1d8 + grab)</v>
      </c>
      <c r="H4" s="11" t="str">
        <f>IFERROR(__xludf.DUMMYFUNCTION("""COMPUTED_VALUE"""),"near (swim)")</f>
        <v>near (swim)</v>
      </c>
      <c r="I4" s="11">
        <f>IFERROR(__xludf.DUMMYFUNCTION("""COMPUTED_VALUE"""),3.0)</f>
        <v>3</v>
      </c>
      <c r="J4" s="11">
        <f>IFERROR(__xludf.DUMMYFUNCTION("""COMPUTED_VALUE"""),-1.0)</f>
        <v>-1</v>
      </c>
      <c r="K4" s="11">
        <f>IFERROR(__xludf.DUMMYFUNCTION("""COMPUTED_VALUE"""),3.0)</f>
        <v>3</v>
      </c>
      <c r="L4" s="11">
        <f>IFERROR(__xludf.DUMMYFUNCTION("""COMPUTED_VALUE"""),-1.0)</f>
        <v>-1</v>
      </c>
      <c r="M4" s="11">
        <f>IFERROR(__xludf.DUMMYFUNCTION("""COMPUTED_VALUE"""),1.0)</f>
        <v>1</v>
      </c>
      <c r="N4" s="11">
        <f>IFERROR(__xludf.DUMMYFUNCTION("""COMPUTED_VALUE"""),-2.0)</f>
        <v>-2</v>
      </c>
      <c r="O4" s="11" t="str">
        <f>IFERROR(__xludf.DUMMYFUNCTION("""COMPUTED_VALUE"""),"C")</f>
        <v>C</v>
      </c>
      <c r="P4" s="13">
        <f>IFERROR(__xludf.DUMMYFUNCTION("""COMPUTED_VALUE"""),5.0)</f>
        <v>5</v>
      </c>
      <c r="Q4" s="11" t="str">
        <f>IFERROR(__xludf.DUMMYFUNCTION("""COMPUTED_VALUE"""),"Grab. DC 15 STR or held in pincer. DC 15 STR to break free on turn.")</f>
        <v>Grab. DC 15 STR or held in pincer. DC 15 STR to break free on turn.</v>
      </c>
      <c r="R4" s="11"/>
      <c r="S4" s="11"/>
      <c r="T4" s="11"/>
      <c r="U4" s="11"/>
      <c r="V4" s="11"/>
      <c r="W4" s="11"/>
      <c r="X4" s="11"/>
      <c r="Y4" s="11"/>
      <c r="Z4" s="11"/>
      <c r="AA4" s="11"/>
      <c r="AB4" s="11"/>
    </row>
    <row r="5" ht="15.75" customHeight="1">
      <c r="A5" s="11" t="str">
        <f>IFERROR(__xludf.DUMMYFUNCTION("""COMPUTED_VALUE"""),"Crab, Giant")</f>
        <v>Crab, Giant</v>
      </c>
      <c r="B5" s="12" t="str">
        <f>IFERROR(__xludf.DUMMYFUNCTION("""COMPUTED_VALUE"""),"")</f>
        <v/>
      </c>
      <c r="C5" s="11" t="str">
        <f>IFERROR(__xludf.DUMMYFUNCTION("""COMPUTED_VALUE"""),"CR")</f>
        <v>CR</v>
      </c>
      <c r="D5" s="11" t="str">
        <f>IFERROR(__xludf.DUMMYFUNCTION("""COMPUTED_VALUE"""),"A wagon-sized, armored crab with two crushing pincers.")</f>
        <v>A wagon-sized, armored crab with two crushing pincers.</v>
      </c>
      <c r="E5" s="11">
        <f>IFERROR(__xludf.DUMMYFUNCTION("""COMPUTED_VALUE"""),15.0)</f>
        <v>15</v>
      </c>
      <c r="F5" s="11">
        <f>IFERROR(__xludf.DUMMYFUNCTION("""COMPUTED_VALUE"""),24.0)</f>
        <v>24</v>
      </c>
      <c r="G5" s="11" t="str">
        <f>IFERROR(__xludf.DUMMYFUNCTION("""COMPUTED_VALUE"""),"2 pincer +4 (1d8 + crush)")</f>
        <v>2 pincer +4 (1d8 + crush)</v>
      </c>
      <c r="H5" s="11" t="str">
        <f>IFERROR(__xludf.DUMMYFUNCTION("""COMPUTED_VALUE"""),"near (swim)")</f>
        <v>near (swim)</v>
      </c>
      <c r="I5" s="11">
        <f>IFERROR(__xludf.DUMMYFUNCTION("""COMPUTED_VALUE"""),3.0)</f>
        <v>3</v>
      </c>
      <c r="J5" s="11">
        <f>IFERROR(__xludf.DUMMYFUNCTION("""COMPUTED_VALUE"""),0.0)</f>
        <v>0</v>
      </c>
      <c r="K5" s="11">
        <f>IFERROR(__xludf.DUMMYFUNCTION("""COMPUTED_VALUE"""),2.0)</f>
        <v>2</v>
      </c>
      <c r="L5" s="11">
        <f>IFERROR(__xludf.DUMMYFUNCTION("""COMPUTED_VALUE"""),-3.0)</f>
        <v>-3</v>
      </c>
      <c r="M5" s="11">
        <f>IFERROR(__xludf.DUMMYFUNCTION("""COMPUTED_VALUE"""),0.0)</f>
        <v>0</v>
      </c>
      <c r="N5" s="11">
        <f>IFERROR(__xludf.DUMMYFUNCTION("""COMPUTED_VALUE"""),-3.0)</f>
        <v>-3</v>
      </c>
      <c r="O5" s="11" t="str">
        <f>IFERROR(__xludf.DUMMYFUNCTION("""COMPUTED_VALUE"""),"N")</f>
        <v>N</v>
      </c>
      <c r="P5" s="13">
        <f>IFERROR(__xludf.DUMMYFUNCTION("""COMPUTED_VALUE"""),5.0)</f>
        <v>5</v>
      </c>
      <c r="Q5" s="11" t="str">
        <f>IFERROR(__xludf.DUMMYFUNCTION("""COMPUTED_VALUE"""),"Crush. DC 15 STR or target takes 1d8 damage.")</f>
        <v>Crush. DC 15 STR or target takes 1d8 damage.</v>
      </c>
      <c r="R5" s="11"/>
      <c r="S5" s="11"/>
      <c r="T5" s="11"/>
      <c r="U5" s="11"/>
      <c r="V5" s="11"/>
      <c r="W5" s="11"/>
      <c r="X5" s="11"/>
      <c r="Y5" s="11"/>
      <c r="Z5" s="11"/>
      <c r="AA5" s="11"/>
      <c r="AB5" s="11"/>
    </row>
    <row r="6" ht="15.75" customHeight="1">
      <c r="A6" s="11" t="str">
        <f>IFERROR(__xludf.DUMMYFUNCTION("""COMPUTED_VALUE"""),"Demon, Vrock")</f>
        <v>Demon, Vrock</v>
      </c>
      <c r="B6" s="12">
        <f>IFERROR(__xludf.DUMMYFUNCTION("""COMPUTED_VALUE"""),6.0)</f>
        <v>6</v>
      </c>
      <c r="C6" s="11" t="str">
        <f>IFERROR(__xludf.DUMMYFUNCTION("""COMPUTED_VALUE"""),"CR")</f>
        <v>CR</v>
      </c>
      <c r="D6" s="11" t="str">
        <f>IFERROR(__xludf.DUMMYFUNCTION("""COMPUTED_VALUE"""),"Wagon-sized, filthy vultures with four limbs, midnight-blue skin, and a rash of mangy feathers.")</f>
        <v>Wagon-sized, filthy vultures with four limbs, midnight-blue skin, and a rash of mangy feathers.</v>
      </c>
      <c r="E6" s="11">
        <f>IFERROR(__xludf.DUMMYFUNCTION("""COMPUTED_VALUE"""),14.0)</f>
        <v>14</v>
      </c>
      <c r="F6" s="11">
        <f>IFERROR(__xludf.DUMMYFUNCTION("""COMPUTED_VALUE"""),24.0)</f>
        <v>24</v>
      </c>
      <c r="G6" s="11" t="str">
        <f>IFERROR(__xludf.DUMMYFUNCTION("""COMPUTED_VALUE"""),"2 talons +4 (1d8)")</f>
        <v>2 talons +4 (1d8)</v>
      </c>
      <c r="H6" s="11" t="str">
        <f>IFERROR(__xludf.DUMMYFUNCTION("""COMPUTED_VALUE"""),"near (fly)")</f>
        <v>near (fly)</v>
      </c>
      <c r="I6" s="11">
        <f>IFERROR(__xludf.DUMMYFUNCTION("""COMPUTED_VALUE"""),2.0)</f>
        <v>2</v>
      </c>
      <c r="J6" s="11">
        <f>IFERROR(__xludf.DUMMYFUNCTION("""COMPUTED_VALUE"""),2.0)</f>
        <v>2</v>
      </c>
      <c r="K6" s="11">
        <f>IFERROR(__xludf.DUMMYFUNCTION("""COMPUTED_VALUE"""),2.0)</f>
        <v>2</v>
      </c>
      <c r="L6" s="11">
        <f>IFERROR(__xludf.DUMMYFUNCTION("""COMPUTED_VALUE"""),-1.0)</f>
        <v>-1</v>
      </c>
      <c r="M6" s="11">
        <f>IFERROR(__xludf.DUMMYFUNCTION("""COMPUTED_VALUE"""),1.0)</f>
        <v>1</v>
      </c>
      <c r="N6" s="11">
        <f>IFERROR(__xludf.DUMMYFUNCTION("""COMPUTED_VALUE"""),0.0)</f>
        <v>0</v>
      </c>
      <c r="O6" s="11" t="str">
        <f>IFERROR(__xludf.DUMMYFUNCTION("""COMPUTED_VALUE"""),"C")</f>
        <v>C</v>
      </c>
      <c r="P6" s="13">
        <f>IFERROR(__xludf.DUMMYFUNCTION("""COMPUTED_VALUE"""),5.0)</f>
        <v>5</v>
      </c>
      <c r="Q6" s="11" t="str">
        <f>IFERROR(__xludf.DUMMYFUNCTION("""COMPUTED_VALUE"""),"Carrion Mist. Each time vrock hit, 3:6 chance of carrion mist in near-sized cube centered on vrock. All enemies DC 15 CON or violent vomiting 1d4 rounds.")</f>
        <v>Carrion Mist. Each time vrock hit, 3:6 chance of carrion mist in near-sized cube centered on vrock. All enemies DC 15 CON or violent vomiting 1d4 rounds.</v>
      </c>
      <c r="R6" s="11" t="str">
        <f>IFERROR(__xludf.DUMMYFUNCTION("""COMPUTED_VALUE"""),"Screech. All enemies in double near DC 12 WIS or DISADV on checks and attacks for 1d4 rounds.")</f>
        <v>Screech. All enemies in double near DC 12 WIS or DISADV on checks and attacks for 1d4 rounds.</v>
      </c>
      <c r="S6" s="11"/>
      <c r="T6" s="11"/>
      <c r="U6" s="11"/>
      <c r="V6" s="11"/>
      <c r="W6" s="11"/>
      <c r="X6" s="11"/>
      <c r="Y6" s="11"/>
      <c r="Z6" s="11"/>
      <c r="AA6" s="11"/>
      <c r="AB6" s="11"/>
    </row>
    <row r="7" ht="15.75" customHeight="1">
      <c r="A7" s="11" t="str">
        <f>IFERROR(__xludf.DUMMYFUNCTION("""COMPUTED_VALUE"""),"Gelatinous Cube")</f>
        <v>Gelatinous Cube</v>
      </c>
      <c r="B7" s="12">
        <f>IFERROR(__xludf.DUMMYFUNCTION("""COMPUTED_VALUE"""),2.0)</f>
        <v>2</v>
      </c>
      <c r="C7" s="11" t="str">
        <f>IFERROR(__xludf.DUMMYFUNCTION("""COMPUTED_VALUE"""),"CR")</f>
        <v>CR</v>
      </c>
      <c r="D7" s="11" t="str">
        <f>IFERROR(__xludf.DUMMYFUNCTION("""COMPUTED_VALUE"""),"A translucent cube of slime that silently mows through tunnels.")</f>
        <v>A translucent cube of slime that silently mows through tunnels.</v>
      </c>
      <c r="E7" s="11">
        <f>IFERROR(__xludf.DUMMYFUNCTION("""COMPUTED_VALUE"""),11.0)</f>
        <v>11</v>
      </c>
      <c r="F7" s="11">
        <f>IFERROR(__xludf.DUMMYFUNCTION("""COMPUTED_VALUE"""),24.0)</f>
        <v>24</v>
      </c>
      <c r="G7" s="11" t="str">
        <f>IFERROR(__xludf.DUMMYFUNCTION("""COMPUTED_VALUE"""),"1 touch +4 (1d8 + toxin + engulf)")</f>
        <v>1 touch +4 (1d8 + toxin + engulf)</v>
      </c>
      <c r="H7" s="11" t="str">
        <f>IFERROR(__xludf.DUMMYFUNCTION("""COMPUTED_VALUE"""),"near S +3, D +1")</f>
        <v>near S +3, D +1</v>
      </c>
      <c r="I7" s="11">
        <f>IFERROR(__xludf.DUMMYFUNCTION("""COMPUTED_VALUE"""),2.0)</f>
        <v>2</v>
      </c>
      <c r="J7" s="11">
        <f>IFERROR(__xludf.DUMMYFUNCTION("""COMPUTED_VALUE"""),-4.0)</f>
        <v>-4</v>
      </c>
      <c r="K7" s="11">
        <f>IFERROR(__xludf.DUMMYFUNCTION("""COMPUTED_VALUE"""),1.0)</f>
        <v>1</v>
      </c>
      <c r="L7" s="11">
        <f>IFERROR(__xludf.DUMMYFUNCTION("""COMPUTED_VALUE"""),-4.0)</f>
        <v>-4</v>
      </c>
      <c r="M7" s="11">
        <f>IFERROR(__xludf.DUMMYFUNCTION("""COMPUTED_VALUE"""),1.0)</f>
        <v>1</v>
      </c>
      <c r="N7" s="11">
        <f>IFERROR(__xludf.DUMMYFUNCTION("""COMPUTED_VALUE"""),-4.0)</f>
        <v>-4</v>
      </c>
      <c r="O7" s="11" t="str">
        <f>IFERROR(__xludf.DUMMYFUNCTION("""COMPUTED_VALUE"""),"N")</f>
        <v>N</v>
      </c>
      <c r="P7" s="13">
        <f>IFERROR(__xludf.DUMMYFUNCTION("""COMPUTED_VALUE"""),5.0)</f>
        <v>5</v>
      </c>
      <c r="Q7" s="11" t="str">
        <f>IFERROR(__xludf.DUMMYFUNCTION("""COMPUTED_VALUE"""),"Engulf. DC 12 STR or trapped inside cube. Touch attack autohits engulfed targets each round. DC 12 STR on turn to escape. Fail checks if paralyzed.")</f>
        <v>Engulf. DC 12 STR or trapped inside cube. Touch attack autohits engulfed targets each round. DC 12 STR on turn to escape. Fail checks if paralyzed.</v>
      </c>
      <c r="R7" s="11" t="str">
        <f>IFERROR(__xludf.DUMMYFUNCTION("""COMPUTED_VALUE"""),"Rubbery. Half damage from stabbing weapons.")</f>
        <v>Rubbery. Half damage from stabbing weapons.</v>
      </c>
      <c r="S7" s="11" t="str">
        <f>IFERROR(__xludf.DUMMYFUNCTION("""COMPUTED_VALUE"""),"Toxin. DC 15 CON or paralyzed 1d4 rounds.")</f>
        <v>Toxin. DC 15 CON or paralyzed 1d4 rounds.</v>
      </c>
      <c r="T7" s="11"/>
      <c r="U7" s="11"/>
      <c r="V7" s="11"/>
      <c r="W7" s="11"/>
      <c r="X7" s="11"/>
      <c r="Y7" s="11"/>
      <c r="Z7" s="11"/>
      <c r="AA7" s="11"/>
      <c r="AB7" s="11"/>
    </row>
    <row r="8" ht="15.75" customHeight="1">
      <c r="A8" s="11" t="str">
        <f>IFERROR(__xludf.DUMMYFUNCTION("""COMPUTED_VALUE"""),"Hippopotamus")</f>
        <v>Hippopotamus</v>
      </c>
      <c r="B8" s="12" t="str">
        <f>IFERROR(__xludf.DUMMYFUNCTION("""COMPUTED_VALUE"""),"")</f>
        <v/>
      </c>
      <c r="C8" s="11" t="str">
        <f>IFERROR(__xludf.DUMMYFUNCTION("""COMPUTED_VALUE"""),"CR")</f>
        <v>CR</v>
      </c>
      <c r="D8" s="11" t="str">
        <f>IFERROR(__xludf.DUMMYFUNCTION("""COMPUTED_VALUE"""),"Ornery river-beasts as large as cows with round, purple bodies and bulbous snouts.")</f>
        <v>Ornery river-beasts as large as cows with round, purple bodies and bulbous snouts.</v>
      </c>
      <c r="E8" s="11">
        <f>IFERROR(__xludf.DUMMYFUNCTION("""COMPUTED_VALUE"""),12.0)</f>
        <v>12</v>
      </c>
      <c r="F8" s="11">
        <f>IFERROR(__xludf.DUMMYFUNCTION("""COMPUTED_VALUE"""),24.0)</f>
        <v>24</v>
      </c>
      <c r="G8" s="11" t="str">
        <f>IFERROR(__xludf.DUMMYFUNCTION("""COMPUTED_VALUE"""),"2 bite +4 (1d10)")</f>
        <v>2 bite +4 (1d10)</v>
      </c>
      <c r="H8" s="11" t="str">
        <f>IFERROR(__xludf.DUMMYFUNCTION("""COMPUTED_VALUE"""),"near (swim)")</f>
        <v>near (swim)</v>
      </c>
      <c r="I8" s="11">
        <f>IFERROR(__xludf.DUMMYFUNCTION("""COMPUTED_VALUE"""),4.0)</f>
        <v>4</v>
      </c>
      <c r="J8" s="11">
        <f>IFERROR(__xludf.DUMMYFUNCTION("""COMPUTED_VALUE"""),0.0)</f>
        <v>0</v>
      </c>
      <c r="K8" s="11">
        <f>IFERROR(__xludf.DUMMYFUNCTION("""COMPUTED_VALUE"""),2.0)</f>
        <v>2</v>
      </c>
      <c r="L8" s="11">
        <f>IFERROR(__xludf.DUMMYFUNCTION("""COMPUTED_VALUE"""),-3.0)</f>
        <v>-3</v>
      </c>
      <c r="M8" s="11">
        <f>IFERROR(__xludf.DUMMYFUNCTION("""COMPUTED_VALUE"""),0.0)</f>
        <v>0</v>
      </c>
      <c r="N8" s="11">
        <f>IFERROR(__xludf.DUMMYFUNCTION("""COMPUTED_VALUE"""),-3.0)</f>
        <v>-3</v>
      </c>
      <c r="O8" s="11" t="str">
        <f>IFERROR(__xludf.DUMMYFUNCTION("""COMPUTED_VALUE"""),"N")</f>
        <v>N</v>
      </c>
      <c r="P8" s="13">
        <f>IFERROR(__xludf.DUMMYFUNCTION("""COMPUTED_VALUE"""),5.0)</f>
        <v>5</v>
      </c>
      <c r="Q8" s="11" t="str">
        <f>IFERROR(__xludf.DUMMYFUNCTION("""COMPUTED_VALUE"""),"Stumpy. ADV on STR checks to grab or drag other creatures.")</f>
        <v>Stumpy. ADV on STR checks to grab or drag other creatures.</v>
      </c>
      <c r="R8" s="11"/>
      <c r="S8" s="11"/>
      <c r="T8" s="11"/>
      <c r="U8" s="11"/>
      <c r="V8" s="11"/>
      <c r="W8" s="11"/>
      <c r="X8" s="11"/>
      <c r="Y8" s="11"/>
      <c r="Z8" s="11"/>
      <c r="AA8" s="11"/>
      <c r="AB8" s="11"/>
    </row>
    <row r="9" ht="15.75" customHeight="1">
      <c r="A9" s="11" t="str">
        <f>IFERROR(__xludf.DUMMYFUNCTION("""COMPUTED_VALUE"""),"Mimic")</f>
        <v>Mimic</v>
      </c>
      <c r="B9" s="12">
        <f>IFERROR(__xludf.DUMMYFUNCTION("""COMPUTED_VALUE"""),2.0)</f>
        <v>2</v>
      </c>
      <c r="C9" s="11" t="str">
        <f>IFERROR(__xludf.DUMMYFUNCTION("""COMPUTED_VALUE"""),"CR")</f>
        <v>CR</v>
      </c>
      <c r="D9" s="11" t="str">
        <f>IFERROR(__xludf.DUMMYFUNCTION("""COMPUTED_VALUE"""),"Beasts that look like objects.")</f>
        <v>Beasts that look like objects.</v>
      </c>
      <c r="E9" s="11">
        <f>IFERROR(__xludf.DUMMYFUNCTION("""COMPUTED_VALUE"""),12.0)</f>
        <v>12</v>
      </c>
      <c r="F9" s="11">
        <f>IFERROR(__xludf.DUMMYFUNCTION("""COMPUTED_VALUE"""),23.0)</f>
        <v>23</v>
      </c>
      <c r="G9" s="11" t="str">
        <f>IFERROR(__xludf.DUMMYFUNCTION("""COMPUTED_VALUE"""),"2 bite +5 (1d8 + stick)")</f>
        <v>2 bite +5 (1d8 + stick)</v>
      </c>
      <c r="H9" s="11" t="str">
        <f>IFERROR(__xludf.DUMMYFUNCTION("""COMPUTED_VALUE"""),"near")</f>
        <v>near</v>
      </c>
      <c r="I9" s="11">
        <f>IFERROR(__xludf.DUMMYFUNCTION("""COMPUTED_VALUE"""),2.0)</f>
        <v>2</v>
      </c>
      <c r="J9" s="11">
        <f>IFERROR(__xludf.DUMMYFUNCTION("""COMPUTED_VALUE"""),0.0)</f>
        <v>0</v>
      </c>
      <c r="K9" s="11">
        <f>IFERROR(__xludf.DUMMYFUNCTION("""COMPUTED_VALUE"""),1.0)</f>
        <v>1</v>
      </c>
      <c r="L9" s="11">
        <f>IFERROR(__xludf.DUMMYFUNCTION("""COMPUTED_VALUE"""),-2.0)</f>
        <v>-2</v>
      </c>
      <c r="M9" s="11">
        <f>IFERROR(__xludf.DUMMYFUNCTION("""COMPUTED_VALUE"""),0.0)</f>
        <v>0</v>
      </c>
      <c r="N9" s="11">
        <f>IFERROR(__xludf.DUMMYFUNCTION("""COMPUTED_VALUE"""),-3.0)</f>
        <v>-3</v>
      </c>
      <c r="O9" s="11" t="str">
        <f>IFERROR(__xludf.DUMMYFUNCTION("""COMPUTED_VALUE"""),"N")</f>
        <v>N</v>
      </c>
      <c r="P9" s="13">
        <f>IFERROR(__xludf.DUMMYFUNCTION("""COMPUTED_VALUE"""),5.0)</f>
        <v>5</v>
      </c>
      <c r="Q9" s="11" t="str">
        <f>IFERROR(__xludf.DUMMYFUNCTION("""COMPUTED_VALUE"""),"Stick. DC 15 STR or adhere to target; auto-hit with bite. DC 15 STR on turn to remove.")</f>
        <v>Stick. DC 15 STR or adhere to target; auto-hit with bite. DC 15 STR on turn to remove.</v>
      </c>
      <c r="R9" s="11"/>
      <c r="S9" s="11"/>
      <c r="T9" s="11"/>
      <c r="U9" s="11"/>
      <c r="V9" s="11"/>
      <c r="W9" s="11"/>
      <c r="X9" s="11"/>
      <c r="Y9" s="11"/>
      <c r="Z9" s="11"/>
      <c r="AA9" s="11"/>
      <c r="AB9" s="11"/>
    </row>
    <row r="10" ht="15.75" customHeight="1">
      <c r="A10" s="11" t="str">
        <f>IFERROR(__xludf.DUMMYFUNCTION("""COMPUTED_VALUE"""),"Octopus, Giant")</f>
        <v>Octopus, Giant</v>
      </c>
      <c r="B10" s="12">
        <f>IFERROR(__xludf.DUMMYFUNCTION("""COMPUTED_VALUE"""),1.0)</f>
        <v>1</v>
      </c>
      <c r="C10" s="11" t="str">
        <f>IFERROR(__xludf.DUMMYFUNCTION("""COMPUTED_VALUE"""),"CR")</f>
        <v>CR</v>
      </c>
      <c r="D10" s="11" t="str">
        <f>IFERROR(__xludf.DUMMYFUNCTION("""COMPUTED_VALUE"""),"Octopi as large as sailing skiffs.")</f>
        <v>Octopi as large as sailing skiffs.</v>
      </c>
      <c r="E10" s="11">
        <f>IFERROR(__xludf.DUMMYFUNCTION("""COMPUTED_VALUE"""),13.0)</f>
        <v>13</v>
      </c>
      <c r="F10" s="11" t="str">
        <f>IFERROR(__xludf.DUMMYFUNCTION("""COMPUTED_VALUE"""),"23")</f>
        <v>23</v>
      </c>
      <c r="G10" s="11" t="str">
        <f>IFERROR(__xludf.DUMMYFUNCTION("""COMPUTED_VALUE"""),"2 tentacle (near) +4 (1d8 + grab)")</f>
        <v>2 tentacle (near) +4 (1d8 + grab)</v>
      </c>
      <c r="H10" s="11" t="str">
        <f>IFERROR(__xludf.DUMMYFUNCTION("""COMPUTED_VALUE"""),"near (swim)")</f>
        <v>near (swim)</v>
      </c>
      <c r="I10" s="11">
        <f>IFERROR(__xludf.DUMMYFUNCTION("""COMPUTED_VALUE"""),3.0)</f>
        <v>3</v>
      </c>
      <c r="J10" s="11">
        <f>IFERROR(__xludf.DUMMYFUNCTION("""COMPUTED_VALUE"""),3.0)</f>
        <v>3</v>
      </c>
      <c r="K10" s="11">
        <f>IFERROR(__xludf.DUMMYFUNCTION("""COMPUTED_VALUE"""),1.0)</f>
        <v>1</v>
      </c>
      <c r="L10" s="11" t="str">
        <f>IFERROR(__xludf.DUMMYFUNCTION("""COMPUTED_VALUE"""),"-2")</f>
        <v>-2</v>
      </c>
      <c r="M10" s="11">
        <f>IFERROR(__xludf.DUMMYFUNCTION("""COMPUTED_VALUE"""),1.0)</f>
        <v>1</v>
      </c>
      <c r="N10" s="11" t="str">
        <f>IFERROR(__xludf.DUMMYFUNCTION("""COMPUTED_VALUE"""),"-3")</f>
        <v>-3</v>
      </c>
      <c r="O10" s="11" t="str">
        <f>IFERROR(__xludf.DUMMYFUNCTION("""COMPUTED_VALUE"""),"N")</f>
        <v>N</v>
      </c>
      <c r="P10" s="13">
        <f>IFERROR(__xludf.DUMMYFUNCTION("""COMPUTED_VALUE"""),5.0)</f>
        <v>5</v>
      </c>
      <c r="Q10" s="11" t="str">
        <f>IFERROR(__xludf.DUMMYFUNCTION("""COMPUTED_VALUE"""),"Grab. DC 15 STR or immobilized. Tentacle auto-hits each round. DC 15 STR on turn to break free. Ink. In place of attacks, ink cloud blinds all in near for 1d4 rounds.")</f>
        <v>Grab. DC 15 STR or immobilized. Tentacle auto-hits each round. DC 15 STR on turn to break free. Ink. In place of attacks, ink cloud blinds all in near for 1d4 rounds.</v>
      </c>
      <c r="R10" s="11"/>
      <c r="S10" s="11"/>
      <c r="T10" s="11"/>
      <c r="U10" s="11"/>
      <c r="V10" s="11"/>
      <c r="W10" s="11"/>
      <c r="X10" s="11"/>
      <c r="Y10" s="11"/>
      <c r="Z10" s="11"/>
      <c r="AA10" s="11"/>
      <c r="AB10" s="11"/>
    </row>
    <row r="11" ht="15.75" customHeight="1">
      <c r="A11" s="11" t="str">
        <f>IFERROR(__xludf.DUMMYFUNCTION("""COMPUTED_VALUE"""),"Outsider, Void Spider")</f>
        <v>Outsider, Void Spider</v>
      </c>
      <c r="B11" s="12" t="str">
        <f>IFERROR(__xludf.DUMMYFUNCTION("""COMPUTED_VALUE"""),"")</f>
        <v/>
      </c>
      <c r="C11" s="11" t="str">
        <f>IFERROR(__xludf.DUMMYFUNCTION("""COMPUTED_VALUE"""),"CR")</f>
        <v>CR</v>
      </c>
      <c r="D11" s="11" t="str">
        <f>IFERROR(__xludf.DUMMYFUNCTION("""COMPUTED_VALUE"""),"Pale, horse-sized arachnids that become ghostly and intangible.")</f>
        <v>Pale, horse-sized arachnids that become ghostly and intangible.</v>
      </c>
      <c r="E11" s="11">
        <f>IFERROR(__xludf.DUMMYFUNCTION("""COMPUTED_VALUE"""),13.0)</f>
        <v>13</v>
      </c>
      <c r="F11" s="11">
        <f>IFERROR(__xludf.DUMMYFUNCTION("""COMPUTED_VALUE"""),23.0)</f>
        <v>23</v>
      </c>
      <c r="G11" s="11" t="str">
        <f>IFERROR(__xludf.DUMMYFUNCTION("""COMPUTED_VALUE"""),"2 bite +4 (1d8 + poison)")</f>
        <v>2 bite +4 (1d8 + poison)</v>
      </c>
      <c r="H11" s="11" t="str">
        <f>IFERROR(__xludf.DUMMYFUNCTION("""COMPUTED_VALUE"""),"near (climb)")</f>
        <v>near (climb)</v>
      </c>
      <c r="I11" s="11">
        <f>IFERROR(__xludf.DUMMYFUNCTION("""COMPUTED_VALUE"""),3.0)</f>
        <v>3</v>
      </c>
      <c r="J11" s="11">
        <f>IFERROR(__xludf.DUMMYFUNCTION("""COMPUTED_VALUE"""),3.0)</f>
        <v>3</v>
      </c>
      <c r="K11" s="11">
        <f>IFERROR(__xludf.DUMMYFUNCTION("""COMPUTED_VALUE"""),1.0)</f>
        <v>1</v>
      </c>
      <c r="L11" s="11">
        <f>IFERROR(__xludf.DUMMYFUNCTION("""COMPUTED_VALUE"""),-1.0)</f>
        <v>-1</v>
      </c>
      <c r="M11" s="11">
        <f>IFERROR(__xludf.DUMMYFUNCTION("""COMPUTED_VALUE"""),1.0)</f>
        <v>1</v>
      </c>
      <c r="N11" s="11">
        <f>IFERROR(__xludf.DUMMYFUNCTION("""COMPUTED_VALUE"""),-2.0)</f>
        <v>-2</v>
      </c>
      <c r="O11" s="11" t="str">
        <f>IFERROR(__xludf.DUMMYFUNCTION("""COMPUTED_VALUE"""),"C")</f>
        <v>C</v>
      </c>
      <c r="P11" s="13">
        <f>IFERROR(__xludf.DUMMYFUNCTION("""COMPUTED_VALUE"""),5.0)</f>
        <v>5</v>
      </c>
      <c r="Q11" s="11" t="str">
        <f>IFERROR(__xludf.DUMMYFUNCTION("""COMPUTED_VALUE"""),"Impervious. Immune to cold.")</f>
        <v>Impervious. Immune to cold.</v>
      </c>
      <c r="R11" s="11" t="str">
        <f>IFERROR(__xludf.DUMMYFUNCTION("""COMPUTED_VALUE"""),"Phase. Once per round, become corporeal or incorporeal")</f>
        <v>Phase. Once per round, become corporeal or incorporeal</v>
      </c>
      <c r="S11" s="11" t="str">
        <f>IFERROR(__xludf.DUMMYFUNCTION("""COMPUTED_VALUE"""),"Poison. DC 12 CON or drop to 0 HP in 1d4 rounds")</f>
        <v>Poison. DC 12 CON or drop to 0 HP in 1d4 rounds</v>
      </c>
      <c r="T11" s="11"/>
      <c r="U11" s="11"/>
      <c r="V11" s="11"/>
      <c r="W11" s="11"/>
      <c r="X11" s="11"/>
      <c r="Y11" s="11"/>
      <c r="Z11" s="11"/>
      <c r="AA11" s="11"/>
      <c r="AB11" s="11"/>
    </row>
    <row r="12" ht="15.75" customHeight="1">
      <c r="A12" s="11" t="str">
        <f>IFERROR(__xludf.DUMMYFUNCTION("""COMPUTED_VALUE"""),"Priest")</f>
        <v>Priest</v>
      </c>
      <c r="B12" s="12">
        <f>IFERROR(__xludf.DUMMYFUNCTION("""COMPUTED_VALUE"""),2.0)</f>
        <v>2</v>
      </c>
      <c r="C12" s="11" t="str">
        <f>IFERROR(__xludf.DUMMYFUNCTION("""COMPUTED_VALUE"""),"CR")</f>
        <v>CR</v>
      </c>
      <c r="D12" s="11" t="str">
        <f>IFERROR(__xludf.DUMMYFUNCTION("""COMPUTED_VALUE"""),"A respected member of a clergy who leads holy rituals and rites.")</f>
        <v>A respected member of a clergy who leads holy rituals and rites.</v>
      </c>
      <c r="E12" s="11" t="str">
        <f>IFERROR(__xludf.DUMMYFUNCTION("""COMPUTED_VALUE"""),"15 (chainmail + shield)")</f>
        <v>15 (chainmail + shield)</v>
      </c>
      <c r="F12" s="11">
        <f>IFERROR(__xludf.DUMMYFUNCTION("""COMPUTED_VALUE"""),23.0)</f>
        <v>23</v>
      </c>
      <c r="G12" s="11" t="str">
        <f>IFERROR(__xludf.DUMMYFUNCTION("""COMPUTED_VALUE"""),"2 mace +3 (1d6) or 1 spell +3")</f>
        <v>2 mace +3 (1d6) or 1 spell +3</v>
      </c>
      <c r="H12" s="11" t="str">
        <f>IFERROR(__xludf.DUMMYFUNCTION("""COMPUTED_VALUE"""),"near")</f>
        <v>near</v>
      </c>
      <c r="I12" s="11">
        <f>IFERROR(__xludf.DUMMYFUNCTION("""COMPUTED_VALUE"""),1.0)</f>
        <v>1</v>
      </c>
      <c r="J12" s="11">
        <f>IFERROR(__xludf.DUMMYFUNCTION("""COMPUTED_VALUE"""),0.0)</f>
        <v>0</v>
      </c>
      <c r="K12" s="11">
        <f>IFERROR(__xludf.DUMMYFUNCTION("""COMPUTED_VALUE"""),1.0)</f>
        <v>1</v>
      </c>
      <c r="L12" s="11">
        <f>IFERROR(__xludf.DUMMYFUNCTION("""COMPUTED_VALUE"""),0.0)</f>
        <v>0</v>
      </c>
      <c r="M12" s="11">
        <f>IFERROR(__xludf.DUMMYFUNCTION("""COMPUTED_VALUE"""),2.0)</f>
        <v>2</v>
      </c>
      <c r="N12" s="11">
        <f>IFERROR(__xludf.DUMMYFUNCTION("""COMPUTED_VALUE"""),1.0)</f>
        <v>1</v>
      </c>
      <c r="O12" s="11" t="str">
        <f>IFERROR(__xludf.DUMMYFUNCTION("""COMPUTED_VALUE"""),"L")</f>
        <v>L</v>
      </c>
      <c r="P12" s="13">
        <f>IFERROR(__xludf.DUMMYFUNCTION("""COMPUTED_VALUE"""),5.0)</f>
        <v>5</v>
      </c>
      <c r="Q12" s="11" t="str">
        <f>IFERROR(__xludf.DUMMYFUNCTION("""COMPUTED_VALUE"""),"Anoint (WIS Spell). DC 12. Close. One weapon or armor becomes a magic +2 version for 10 rounds.")</f>
        <v>Anoint (WIS Spell). DC 12. Close. One weapon or armor becomes a magic +2 version for 10 rounds.</v>
      </c>
      <c r="R12" s="11" t="str">
        <f>IFERROR(__xludf.DUMMYFUNCTION("""COMPUTED_VALUE"""),"Healing Touch (WIS Spell). DC 11. Heal one creature within close for 2d4 HP.")</f>
        <v>Healing Touch (WIS Spell). DC 11. Heal one creature within close for 2d4 HP.</v>
      </c>
      <c r="S12" s="11" t="str">
        <f>IFERROR(__xludf.DUMMYFUNCTION("""COMPUTED_VALUE"""),"Holy Flame (WIS Spell). DC 13. Self. Weapons ignite in magic flames and deal an additional 1d6 damage for 5 rounds.")</f>
        <v>Holy Flame (WIS Spell). DC 13. Self. Weapons ignite in magic flames and deal an additional 1d6 damage for 5 rounds.</v>
      </c>
      <c r="T12" s="11" t="str">
        <f>IFERROR(__xludf.DUMMYFUNCTION("""COMPUTED_VALUE"""),"Rebuke (WIS Spell). DC 13. Focus. Chaotic creatures cannot attack priest or come within near range for duration.")</f>
        <v>Rebuke (WIS Spell). DC 13. Focus. Chaotic creatures cannot attack priest or come within near range for duration.</v>
      </c>
      <c r="U12" s="11"/>
      <c r="V12" s="11"/>
      <c r="W12" s="11"/>
      <c r="X12" s="11"/>
      <c r="Y12" s="11"/>
      <c r="Z12" s="11"/>
      <c r="AA12" s="11"/>
      <c r="AB12" s="11"/>
    </row>
    <row r="13" ht="15.75" customHeight="1">
      <c r="A13" s="11" t="str">
        <f>IFERROR(__xludf.DUMMYFUNCTION("""COMPUTED_VALUE"""),"Rhinoceros")</f>
        <v>Rhinoceros</v>
      </c>
      <c r="B13" s="12">
        <f>IFERROR(__xludf.DUMMYFUNCTION("""COMPUTED_VALUE"""),2.0)</f>
        <v>2</v>
      </c>
      <c r="C13" s="11" t="str">
        <f>IFERROR(__xludf.DUMMYFUNCTION("""COMPUTED_VALUE"""),"CR")</f>
        <v>CR</v>
      </c>
      <c r="D13" s="11" t="str">
        <f>IFERROR(__xludf.DUMMYFUNCTION("""COMPUTED_VALUE"""),"Gray-skinned bulls with single nose horns. Dwell in grasslands.")</f>
        <v>Gray-skinned bulls with single nose horns. Dwell in grasslands.</v>
      </c>
      <c r="E13" s="11">
        <f>IFERROR(__xludf.DUMMYFUNCTION("""COMPUTED_VALUE"""),14.0)</f>
        <v>14</v>
      </c>
      <c r="F13" s="11">
        <f>IFERROR(__xludf.DUMMYFUNCTION("""COMPUTED_VALUE"""),25.0)</f>
        <v>25</v>
      </c>
      <c r="G13" s="11" t="str">
        <f>IFERROR(__xludf.DUMMYFUNCTION("""COMPUTED_VALUE"""),"2 horn +4 (1d8)")</f>
        <v>2 horn +4 (1d8)</v>
      </c>
      <c r="H13" s="11" t="str">
        <f>IFERROR(__xludf.DUMMYFUNCTION("""COMPUTED_VALUE"""),"near")</f>
        <v>near</v>
      </c>
      <c r="I13" s="11">
        <f>IFERROR(__xludf.DUMMYFUNCTION("""COMPUTED_VALUE"""),4.0)</f>
        <v>4</v>
      </c>
      <c r="J13" s="11">
        <f>IFERROR(__xludf.DUMMYFUNCTION("""COMPUTED_VALUE"""),-1.0)</f>
        <v>-1</v>
      </c>
      <c r="K13" s="11">
        <f>IFERROR(__xludf.DUMMYFUNCTION("""COMPUTED_VALUE"""),3.0)</f>
        <v>3</v>
      </c>
      <c r="L13" s="11">
        <f>IFERROR(__xludf.DUMMYFUNCTION("""COMPUTED_VALUE"""),-3.0)</f>
        <v>-3</v>
      </c>
      <c r="M13" s="11">
        <f>IFERROR(__xludf.DUMMYFUNCTION("""COMPUTED_VALUE"""),0.0)</f>
        <v>0</v>
      </c>
      <c r="N13" s="11">
        <f>IFERROR(__xludf.DUMMYFUNCTION("""COMPUTED_VALUE"""),-3.0)</f>
        <v>-3</v>
      </c>
      <c r="O13" s="11" t="str">
        <f>IFERROR(__xludf.DUMMYFUNCTION("""COMPUTED_VALUE"""),"N")</f>
        <v>N</v>
      </c>
      <c r="P13" s="13">
        <f>IFERROR(__xludf.DUMMYFUNCTION("""COMPUTED_VALUE"""),5.0)</f>
        <v>5</v>
      </c>
      <c r="Q13" s="14" t="str">
        <f>IFERROR(__xludf.DUMMYFUNCTION("""COMPUTED_VALUE"""),"Charge. Move up to double near in straight line and make 1 horn attack. If hit, x3 damage.")</f>
        <v>Charge. Move up to double near in straight line and make 1 horn attack. If hit, x3 damage.</v>
      </c>
      <c r="R13" s="14"/>
      <c r="S13" s="14"/>
      <c r="T13" s="14"/>
      <c r="U13" s="14"/>
      <c r="V13" s="14"/>
      <c r="W13" s="11"/>
      <c r="X13" s="11"/>
      <c r="Y13" s="11"/>
      <c r="Z13" s="11"/>
      <c r="AA13" s="11"/>
      <c r="AB13" s="11"/>
    </row>
    <row r="14" ht="15.75" customHeight="1">
      <c r="A14" s="11" t="str">
        <f>IFERROR(__xludf.DUMMYFUNCTION("""COMPUTED_VALUE"""),"Salamander")</f>
        <v>Salamander</v>
      </c>
      <c r="B14" s="12">
        <f>IFERROR(__xludf.DUMMYFUNCTION("""COMPUTED_VALUE"""),5.0)</f>
        <v>5</v>
      </c>
      <c r="C14" s="11" t="str">
        <f>IFERROR(__xludf.DUMMYFUNCTION("""COMPUTED_VALUE"""),"CR")</f>
        <v>CR</v>
      </c>
      <c r="D14" s="11" t="str">
        <f>IFERROR(__xludf.DUMMYFUNCTION("""COMPUTED_VALUE"""),"Fire-colored lizardfolk with long tails. Flame-like frills run down their backs.")</f>
        <v>Fire-colored lizardfolk with long tails. Flame-like frills run down their backs.</v>
      </c>
      <c r="E14" s="11">
        <f>IFERROR(__xludf.DUMMYFUNCTION("""COMPUTED_VALUE"""),13.0)</f>
        <v>13</v>
      </c>
      <c r="F14" s="11">
        <f>IFERROR(__xludf.DUMMYFUNCTION("""COMPUTED_VALUE"""),24.0)</f>
        <v>24</v>
      </c>
      <c r="G14" s="11" t="str">
        <f>IFERROR(__xludf.DUMMYFUNCTION("""COMPUTED_VALUE"""),"2 flaming spear (close/near) +4 (1d6, ignites flammables) or 1 iron longbow (far) +2 (1d8)")</f>
        <v>2 flaming spear (close/near) +4 (1d6, ignites flammables) or 1 iron longbow (far) +2 (1d8)</v>
      </c>
      <c r="H14" s="11" t="str">
        <f>IFERROR(__xludf.DUMMYFUNCTION("""COMPUTED_VALUE"""),"near")</f>
        <v>near</v>
      </c>
      <c r="I14" s="11">
        <f>IFERROR(__xludf.DUMMYFUNCTION("""COMPUTED_VALUE"""),2.0)</f>
        <v>2</v>
      </c>
      <c r="J14" s="11">
        <f>IFERROR(__xludf.DUMMYFUNCTION("""COMPUTED_VALUE"""),0.0)</f>
        <v>0</v>
      </c>
      <c r="K14" s="11">
        <f>IFERROR(__xludf.DUMMYFUNCTION("""COMPUTED_VALUE"""),2.0)</f>
        <v>2</v>
      </c>
      <c r="L14" s="11">
        <f>IFERROR(__xludf.DUMMYFUNCTION("""COMPUTED_VALUE"""),-1.0)</f>
        <v>-1</v>
      </c>
      <c r="M14" s="11">
        <f>IFERROR(__xludf.DUMMYFUNCTION("""COMPUTED_VALUE"""),1.0)</f>
        <v>1</v>
      </c>
      <c r="N14" s="11">
        <f>IFERROR(__xludf.DUMMYFUNCTION("""COMPUTED_VALUE"""),-1.0)</f>
        <v>-1</v>
      </c>
      <c r="O14" s="11" t="str">
        <f>IFERROR(__xludf.DUMMYFUNCTION("""COMPUTED_VALUE"""),"C")</f>
        <v>C</v>
      </c>
      <c r="P14" s="13">
        <f>IFERROR(__xludf.DUMMYFUNCTION("""COMPUTED_VALUE"""),5.0)</f>
        <v>5</v>
      </c>
      <c r="Q14" s="11" t="str">
        <f>IFERROR(__xludf.DUMMYFUNCTION("""COMPUTED_VALUE"""),"Impervious. Fire immune. Heat Aura. Creatures in close DC 12 CON on turn or 1d8 damage.")</f>
        <v>Impervious. Fire immune. Heat Aura. Creatures in close DC 12 CON on turn or 1d8 damage.</v>
      </c>
      <c r="R14" s="11"/>
      <c r="S14" s="11"/>
      <c r="T14" s="11"/>
      <c r="U14" s="11"/>
      <c r="V14" s="11"/>
      <c r="W14" s="11"/>
      <c r="X14" s="11"/>
      <c r="Y14" s="11"/>
      <c r="Z14" s="11"/>
      <c r="AA14" s="11"/>
      <c r="AB14" s="11"/>
    </row>
    <row r="15" ht="15.75" customHeight="1">
      <c r="A15" s="11" t="str">
        <f>IFERROR(__xludf.DUMMYFUNCTION("""COMPUTED_VALUE"""),"Snake, Giant")</f>
        <v>Snake, Giant</v>
      </c>
      <c r="B15" s="12">
        <f>IFERROR(__xludf.DUMMYFUNCTION("""COMPUTED_VALUE"""),2.0)</f>
        <v>2</v>
      </c>
      <c r="C15" s="11" t="str">
        <f>IFERROR(__xludf.DUMMYFUNCTION("""COMPUTED_VALUE"""),"CR")</f>
        <v>CR</v>
      </c>
      <c r="D15" s="11" t="str">
        <f>IFERROR(__xludf.DUMMYFUNCTION("""COMPUTED_VALUE"""),"An enormous, mottled serpent that can swallow a cow whole.")</f>
        <v>An enormous, mottled serpent that can swallow a cow whole.</v>
      </c>
      <c r="E15" s="11">
        <f>IFERROR(__xludf.DUMMYFUNCTION("""COMPUTED_VALUE"""),12.0)</f>
        <v>12</v>
      </c>
      <c r="F15" s="11">
        <f>IFERROR(__xludf.DUMMYFUNCTION("""COMPUTED_VALUE"""),23.0)</f>
        <v>23</v>
      </c>
      <c r="G15" s="11" t="str">
        <f>IFERROR(__xludf.DUMMYFUNCTION("""COMPUTED_VALUE"""),"2 bite +4 (1d6) and 1 constrict (near)")</f>
        <v>2 bite +4 (1d6) and 1 constrict (near)</v>
      </c>
      <c r="H15" s="11" t="str">
        <f>IFERROR(__xludf.DUMMYFUNCTION("""COMPUTED_VALUE"""),"near (climb)")</f>
        <v>near (climb)</v>
      </c>
      <c r="I15" s="11">
        <f>IFERROR(__xludf.DUMMYFUNCTION("""COMPUTED_VALUE"""),3.0)</f>
        <v>3</v>
      </c>
      <c r="J15" s="11">
        <f>IFERROR(__xludf.DUMMYFUNCTION("""COMPUTED_VALUE"""),2.0)</f>
        <v>2</v>
      </c>
      <c r="K15" s="11">
        <f>IFERROR(__xludf.DUMMYFUNCTION("""COMPUTED_VALUE"""),1.0)</f>
        <v>1</v>
      </c>
      <c r="L15" s="11">
        <f>IFERROR(__xludf.DUMMYFUNCTION("""COMPUTED_VALUE"""),-2.0)</f>
        <v>-2</v>
      </c>
      <c r="M15" s="11">
        <f>IFERROR(__xludf.DUMMYFUNCTION("""COMPUTED_VALUE"""),0.0)</f>
        <v>0</v>
      </c>
      <c r="N15" s="11">
        <f>IFERROR(__xludf.DUMMYFUNCTION("""COMPUTED_VALUE"""),-2.0)</f>
        <v>-2</v>
      </c>
      <c r="O15" s="11" t="str">
        <f>IFERROR(__xludf.DUMMYFUNCTION("""COMPUTED_VALUE"""),"N")</f>
        <v>N</v>
      </c>
      <c r="P15" s="13">
        <f>IFERROR(__xludf.DUMMYFUNCTION("""COMPUTED_VALUE"""),5.0)</f>
        <v>5</v>
      </c>
      <c r="Q15" s="11" t="str">
        <f>IFERROR(__xludf.DUMMYFUNCTION("""COMPUTED_VALUE"""),"Constrict. Contested STR to hold target immobile for one round.")</f>
        <v>Constrict. Contested STR to hold target immobile for one round.</v>
      </c>
      <c r="R15" s="11"/>
      <c r="S15" s="11"/>
      <c r="T15" s="11"/>
      <c r="U15" s="11"/>
      <c r="V15" s="11"/>
      <c r="W15" s="11"/>
      <c r="X15" s="11"/>
      <c r="Y15" s="11"/>
      <c r="Z15" s="11"/>
      <c r="AA15" s="11"/>
      <c r="AB15" s="11"/>
    </row>
    <row r="16" ht="15.75" customHeight="1">
      <c r="A16" s="11" t="str">
        <f>IFERROR(__xludf.DUMMYFUNCTION("""COMPUTED_VALUE"""),"Troll")</f>
        <v>Troll</v>
      </c>
      <c r="B16" s="12">
        <f>IFERROR(__xludf.DUMMYFUNCTION("""COMPUTED_VALUE"""),5.0)</f>
        <v>5</v>
      </c>
      <c r="C16" s="11" t="str">
        <f>IFERROR(__xludf.DUMMYFUNCTION("""COMPUTED_VALUE"""),"CR")</f>
        <v>CR</v>
      </c>
      <c r="D16" s="11" t="str">
        <f>IFERROR(__xludf.DUMMYFUNCTION("""COMPUTED_VALUE"""),"Green, lanky giants with warty skin and territorial rage. Lair in deep forests and swamps.")</f>
        <v>Green, lanky giants with warty skin and territorial rage. Lair in deep forests and swamps.</v>
      </c>
      <c r="E16" s="11">
        <f>IFERROR(__xludf.DUMMYFUNCTION("""COMPUTED_VALUE"""),12.0)</f>
        <v>12</v>
      </c>
      <c r="F16" s="11" t="str">
        <f>IFERROR(__xludf.DUMMYFUNCTION("""COMPUTED_VALUE"""),"24")</f>
        <v>24</v>
      </c>
      <c r="G16" s="11" t="str">
        <f>IFERROR(__xludf.DUMMYFUNCTION("""COMPUTED_VALUE"""),"2 claw +4 (1d6) and 1 bite +4 (1d10)")</f>
        <v>2 claw +4 (1d6) and 1 bite +4 (1d10)</v>
      </c>
      <c r="H16" s="11" t="str">
        <f>IFERROR(__xludf.DUMMYFUNCTION("""COMPUTED_VALUE"""),"near")</f>
        <v>near</v>
      </c>
      <c r="I16" s="11" t="str">
        <f>IFERROR(__xludf.DUMMYFUNCTION("""COMPUTED_VALUE"""),"3")</f>
        <v>3</v>
      </c>
      <c r="J16" s="11" t="str">
        <f>IFERROR(__xludf.DUMMYFUNCTION("""COMPUTED_VALUE"""),"2")</f>
        <v>2</v>
      </c>
      <c r="K16" s="11" t="str">
        <f>IFERROR(__xludf.DUMMYFUNCTION("""COMPUTED_VALUE"""),"2")</f>
        <v>2</v>
      </c>
      <c r="L16" s="11" t="str">
        <f>IFERROR(__xludf.DUMMYFUNCTION("""COMPUTED_VALUE"""),"-1")</f>
        <v>-1</v>
      </c>
      <c r="M16" s="11" t="str">
        <f>IFERROR(__xludf.DUMMYFUNCTION("""COMPUTED_VALUE"""),"0")</f>
        <v>0</v>
      </c>
      <c r="N16" s="11" t="str">
        <f>IFERROR(__xludf.DUMMYFUNCTION("""COMPUTED_VALUE"""),"-1")</f>
        <v>-1</v>
      </c>
      <c r="O16" s="11" t="str">
        <f>IFERROR(__xludf.DUMMYFUNCTION("""COMPUTED_VALUE"""),"C")</f>
        <v>C</v>
      </c>
      <c r="P16" s="13">
        <f>IFERROR(__xludf.DUMMYFUNCTION("""COMPUTED_VALUE"""),5.0)</f>
        <v>5</v>
      </c>
      <c r="Q16" s="11" t="str">
        <f>IFERROR(__xludf.DUMMYFUNCTION("""COMPUTED_VALUE"""),"Regenerate. Regains 2d6 HP on its turn unless its wounds are cauterized with fire or acid.")</f>
        <v>Regenerate. Regains 2d6 HP on its turn unless its wounds are cauterized with fire or acid.</v>
      </c>
      <c r="R16" s="11"/>
      <c r="S16" s="11"/>
      <c r="T16" s="11"/>
      <c r="U16" s="11"/>
      <c r="V16" s="11"/>
      <c r="W16" s="11"/>
      <c r="X16" s="11"/>
      <c r="Y16" s="11"/>
      <c r="Z16" s="11"/>
      <c r="AA16" s="11"/>
      <c r="AB16" s="11"/>
    </row>
    <row r="17" ht="15.75" customHeight="1">
      <c r="A17" s="11" t="str">
        <f>IFERROR(__xludf.DUMMYFUNCTION("""COMPUTED_VALUE"""),"Vampire Spawn")</f>
        <v>Vampire Spawn</v>
      </c>
      <c r="B17" s="12">
        <f>IFERROR(__xludf.DUMMYFUNCTION("""COMPUTED_VALUE"""),5.0)</f>
        <v>5</v>
      </c>
      <c r="C17" s="11" t="str">
        <f>IFERROR(__xludf.DUMMYFUNCTION("""COMPUTED_VALUE"""),"CR")</f>
        <v>CR</v>
      </c>
      <c r="D17" s="11" t="str">
        <f>IFERROR(__xludf.DUMMYFUNCTION("""COMPUTED_VALUE"""),"Lesser, feral vampires born from the bite of their vampiric sires. Bloodthirsty and savage. They rarely leave a victim alive.")</f>
        <v>Lesser, feral vampires born from the bite of their vampiric sires. Bloodthirsty and savage. They rarely leave a victim alive.</v>
      </c>
      <c r="E17" s="11" t="str">
        <f>IFERROR(__xludf.DUMMYFUNCTION("""COMPUTED_VALUE"""),"13 (leather)")</f>
        <v>13 (leather)</v>
      </c>
      <c r="F17" s="11">
        <f>IFERROR(__xludf.DUMMYFUNCTION("""COMPUTED_VALUE"""),25.0)</f>
        <v>25</v>
      </c>
      <c r="G17" s="11" t="str">
        <f>IFERROR(__xludf.DUMMYFUNCTION("""COMPUTED_VALUE"""),"2 bite +4 (1d8 + blood drain)")</f>
        <v>2 bite +4 (1d8 + blood drain)</v>
      </c>
      <c r="H17" s="11" t="str">
        <f>IFERROR(__xludf.DUMMYFUNCTION("""COMPUTED_VALUE"""),"near (climb)")</f>
        <v>near (climb)</v>
      </c>
      <c r="I17" s="11">
        <f>IFERROR(__xludf.DUMMYFUNCTION("""COMPUTED_VALUE"""),3.0)</f>
        <v>3</v>
      </c>
      <c r="J17" s="11">
        <f>IFERROR(__xludf.DUMMYFUNCTION("""COMPUTED_VALUE"""),2.0)</f>
        <v>2</v>
      </c>
      <c r="K17" s="11">
        <f>IFERROR(__xludf.DUMMYFUNCTION("""COMPUTED_VALUE"""),3.0)</f>
        <v>3</v>
      </c>
      <c r="L17" s="11">
        <f>IFERROR(__xludf.DUMMYFUNCTION("""COMPUTED_VALUE"""),-1.0)</f>
        <v>-1</v>
      </c>
      <c r="M17" s="11">
        <f>IFERROR(__xludf.DUMMYFUNCTION("""COMPUTED_VALUE"""),1.0)</f>
        <v>1</v>
      </c>
      <c r="N17" s="11">
        <f>IFERROR(__xludf.DUMMYFUNCTION("""COMPUTED_VALUE"""),2.0)</f>
        <v>2</v>
      </c>
      <c r="O17" s="11" t="str">
        <f>IFERROR(__xludf.DUMMYFUNCTION("""COMPUTED_VALUE"""),"C")</f>
        <v>C</v>
      </c>
      <c r="P17" s="13">
        <f>IFERROR(__xludf.DUMMYFUNCTION("""COMPUTED_VALUE"""),5.0)</f>
        <v>5</v>
      </c>
      <c r="Q17" s="11" t="str">
        <f>IFERROR(__xludf.DUMMYFUNCTION("""COMPUTED_VALUE"""),"Greater Undead. Immune to morale checks. Only damaged by silver or magical sources.")</f>
        <v>Greater Undead. Immune to morale checks. Only damaged by silver or magical sources.</v>
      </c>
      <c r="R17" s="11" t="str">
        <f>IFERROR(__xludf.DUMMYFUNCTION("""COMPUTED_VALUE"""),"Blood Drain. Vampire heals 2d6 HP and target loses 1d4 CON. At 0 CON, target dies and rises as an allied vampire spawn.")</f>
        <v>Blood Drain. Vampire heals 2d6 HP and target loses 1d4 CON. At 0 CON, target dies and rises as an allied vampire spawn.</v>
      </c>
      <c r="S17" s="11" t="str">
        <f>IFERROR(__xludf.DUMMYFUNCTION("""COMPUTED_VALUE"""),"Vampire. Must sleep in a coffin daily or loses 2d6 HP each day that can't be healed until resting in coffin. Takes 3d8 damage each round while in direct sunlight. Cannot be killed unless pierced through heart with a wooden stake while at 0 HP.")</f>
        <v>Vampire. Must sleep in a coffin daily or loses 2d6 HP each day that can't be healed until resting in coffin. Takes 3d8 damage each round while in direct sunlight. Cannot be killed unless pierced through heart with a wooden stake while at 0 HP.</v>
      </c>
      <c r="T17" s="11"/>
      <c r="U17" s="11"/>
      <c r="V17" s="11"/>
      <c r="W17" s="11"/>
      <c r="X17" s="11"/>
      <c r="Y17" s="11"/>
      <c r="Z17" s="11"/>
      <c r="AA17" s="11"/>
      <c r="AB17" s="11"/>
    </row>
    <row r="18" ht="15.75" customHeight="1">
      <c r="A18" s="11" t="str">
        <f>IFERROR(__xludf.DUMMYFUNCTION("""COMPUTED_VALUE"""),"Wolf, Winter")</f>
        <v>Wolf, Winter</v>
      </c>
      <c r="B18" s="12">
        <f>IFERROR(__xludf.DUMMYFUNCTION("""COMPUTED_VALUE"""),3.0)</f>
        <v>3</v>
      </c>
      <c r="C18" s="11" t="str">
        <f>IFERROR(__xludf.DUMMYFUNCTION("""COMPUTED_VALUE"""),"CR")</f>
        <v>CR</v>
      </c>
      <c r="D18" s="11" t="str">
        <f>IFERROR(__xludf.DUMMYFUNCTION("""COMPUTED_VALUE"""),"Sinister, white-pelted wolves with piercing blue eyes. From the fey realms of eternal winter.")</f>
        <v>Sinister, white-pelted wolves with piercing blue eyes. From the fey realms of eternal winter.</v>
      </c>
      <c r="E18" s="11">
        <f>IFERROR(__xludf.DUMMYFUNCTION("""COMPUTED_VALUE"""),12.0)</f>
        <v>12</v>
      </c>
      <c r="F18" s="11">
        <f>IFERROR(__xludf.DUMMYFUNCTION("""COMPUTED_VALUE"""),23.0)</f>
        <v>23</v>
      </c>
      <c r="G18" s="11" t="str">
        <f>IFERROR(__xludf.DUMMYFUNCTION("""COMPUTED_VALUE"""),"2 bite +4 (1d6)")</f>
        <v>2 bite +4 (1d6)</v>
      </c>
      <c r="H18" s="11" t="str">
        <f>IFERROR(__xludf.DUMMYFUNCTION("""COMPUTED_VALUE"""),"double near")</f>
        <v>double near</v>
      </c>
      <c r="I18" s="11">
        <f>IFERROR(__xludf.DUMMYFUNCTION("""COMPUTED_VALUE"""),3.0)</f>
        <v>3</v>
      </c>
      <c r="J18" s="11">
        <f>IFERROR(__xludf.DUMMYFUNCTION("""COMPUTED_VALUE"""),2.0)</f>
        <v>2</v>
      </c>
      <c r="K18" s="11">
        <f>IFERROR(__xludf.DUMMYFUNCTION("""COMPUTED_VALUE"""),1.0)</f>
        <v>1</v>
      </c>
      <c r="L18" s="11">
        <f>IFERROR(__xludf.DUMMYFUNCTION("""COMPUTED_VALUE"""),0.0)</f>
        <v>0</v>
      </c>
      <c r="M18" s="11">
        <f>IFERROR(__xludf.DUMMYFUNCTION("""COMPUTED_VALUE"""),1.0)</f>
        <v>1</v>
      </c>
      <c r="N18" s="11">
        <f>IFERROR(__xludf.DUMMYFUNCTION("""COMPUTED_VALUE"""),0.0)</f>
        <v>0</v>
      </c>
      <c r="O18" s="11" t="str">
        <f>IFERROR(__xludf.DUMMYFUNCTION("""COMPUTED_VALUE"""),"C")</f>
        <v>C</v>
      </c>
      <c r="P18" s="13">
        <f>IFERROR(__xludf.DUMMYFUNCTION("""COMPUTED_VALUE"""),5.0)</f>
        <v>5</v>
      </c>
      <c r="Q18" s="11" t="str">
        <f>IFERROR(__xludf.DUMMYFUNCTION("""COMPUTED_VALUE"""),"Impervious. Cold immune.")</f>
        <v>Impervious. Cold immune.</v>
      </c>
      <c r="R18" s="11" t="str">
        <f>IFERROR(__xludf.DUMMYFUNCTION("""COMPUTED_VALUE"""),"Frost Breath. Fills a near-sized cube extending from winter wolf. DC 15 DEX or 3d8 damage. Cannot use again for 1d4 rounds.")</f>
        <v>Frost Breath. Fills a near-sized cube extending from winter wolf. DC 15 DEX or 3d8 damage. Cannot use again for 1d4 rounds.</v>
      </c>
      <c r="S18" s="11"/>
      <c r="T18" s="11"/>
      <c r="U18" s="11"/>
      <c r="V18" s="11"/>
      <c r="W18" s="11"/>
      <c r="X18" s="11"/>
      <c r="Y18" s="11"/>
      <c r="Z18" s="11"/>
      <c r="AA18" s="11"/>
      <c r="AB18" s="11"/>
    </row>
  </sheetData>
  <customSheetViews>
    <customSheetView guid="{5CDEC3B1-201F-4BAD-941F-A80E62A04015}" filter="1" showAutoFilter="1">
      <autoFilter ref="$A$1:$AB$18">
        <filterColumn colId="2">
          <filters/>
        </filterColumn>
      </autoFilter>
    </customSheetView>
    <customSheetView guid="{4FEF9F0C-4236-4853-B093-88FE2289FD26}" filter="1" showAutoFilter="1">
      <autoFilter ref="$A$1:$AB$18">
        <filterColumn colId="2">
          <filters>
            <filter val="CR"/>
          </filters>
        </filterColumn>
      </autoFilter>
    </customSheetView>
    <customSheetView guid="{6B2E9E35-D6A1-4749-95F2-2658A691119A}" filter="1" showAutoFilter="1">
      <autoFilter ref="$A$1:$AB$18">
        <filterColumn colId="2">
          <filters/>
        </filterColumn>
      </autoFilter>
    </customSheetView>
    <customSheetView guid="{7B4FF760-C879-4C05-8F10-45D59B7E7C3E}" filter="1" showAutoFilter="1">
      <autoFilter ref="$A$1:$AB$18">
        <filterColumn colId="2">
          <filters/>
        </filterColumn>
      </autoFilter>
    </customSheetView>
    <customSheetView guid="{7904D927-A127-473C-8B57-4EE1C7E3FAE9}" filter="1" showAutoFilter="1">
      <autoFilter ref="$A$1:$AB$18">
        <filterColumn colId="2">
          <filters/>
        </filterColumn>
      </autoFilter>
    </customSheetView>
    <customSheetView guid="{51DCF084-7C01-403C-9896-1E7742DCA6B3}" filter="1" showAutoFilter="1">
      <autoFilter ref="$A$1:$AB$18"/>
    </customSheetView>
  </customSheetView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IFERROR(__xludf.DUMMYFUNCTION("FILTER(All!A5:Z23, All!P5:P23 = 6)
"),"Black Pudding")</f>
        <v>Black Pudding</v>
      </c>
      <c r="B2" s="12">
        <f>IFERROR(__xludf.DUMMYFUNCTION("""COMPUTED_VALUE"""),4.0)</f>
        <v>4</v>
      </c>
      <c r="C2" s="11" t="str">
        <f>IFERROR(__xludf.DUMMYFUNCTION("""COMPUTED_VALUE"""),"CR")</f>
        <v>CR</v>
      </c>
      <c r="D2" s="11" t="str">
        <f>IFERROR(__xludf.DUMMYFUNCTION("""COMPUTED_VALUE"""),"A black, ice-cold mass of sludge.")</f>
        <v>A black, ice-cold mass of sludge.</v>
      </c>
      <c r="E2" s="11">
        <f>IFERROR(__xludf.DUMMYFUNCTION("""COMPUTED_VALUE"""),9.0)</f>
        <v>9</v>
      </c>
      <c r="F2" s="11">
        <f>IFERROR(__xludf.DUMMYFUNCTION("""COMPUTED_VALUE"""),30.0)</f>
        <v>30</v>
      </c>
      <c r="G2" s="11" t="str">
        <f>IFERROR(__xludf.DUMMYFUNCTION("""COMPUTED_VALUE"""),"3 tentacle +4 (2d6)")</f>
        <v>3 tentacle +4 (2d6)</v>
      </c>
      <c r="H2" s="11" t="str">
        <f>IFERROR(__xludf.DUMMYFUNCTION("""COMPUTED_VALUE"""),"near (climb)")</f>
        <v>near (climb)</v>
      </c>
      <c r="I2" s="11">
        <f>IFERROR(__xludf.DUMMYFUNCTION("""COMPUTED_VALUE"""),2.0)</f>
        <v>2</v>
      </c>
      <c r="J2" s="11">
        <f>IFERROR(__xludf.DUMMYFUNCTION("""COMPUTED_VALUE"""),-1.0)</f>
        <v>-1</v>
      </c>
      <c r="K2" s="11">
        <f>IFERROR(__xludf.DUMMYFUNCTION("""COMPUTED_VALUE"""),3.0)</f>
        <v>3</v>
      </c>
      <c r="L2" s="11">
        <f>IFERROR(__xludf.DUMMYFUNCTION("""COMPUTED_VALUE"""),-4.0)</f>
        <v>-4</v>
      </c>
      <c r="M2" s="11">
        <f>IFERROR(__xludf.DUMMYFUNCTION("""COMPUTED_VALUE"""),-3.0)</f>
        <v>-3</v>
      </c>
      <c r="N2" s="11">
        <f>IFERROR(__xludf.DUMMYFUNCTION("""COMPUTED_VALUE"""),-4.0)</f>
        <v>-4</v>
      </c>
      <c r="O2" s="11" t="str">
        <f>IFERROR(__xludf.DUMMYFUNCTION("""COMPUTED_VALUE"""),"N")</f>
        <v>N</v>
      </c>
      <c r="P2" s="13">
        <f>IFERROR(__xludf.DUMMYFUNCTION("""COMPUTED_VALUE"""),6.0)</f>
        <v>6</v>
      </c>
      <c r="Q2" s="11" t="str">
        <f>IFERROR(__xludf.DUMMYFUNCTION("""COMPUTED_VALUE"""),"Impervious. Only damaged by fire.")</f>
        <v>Impervious. Only damaged by fire.</v>
      </c>
      <c r="R2" s="11" t="str">
        <f>IFERROR(__xludf.DUMMYFUNCTION("""COMPUTED_VALUE"""),"Corrosive. Wood or metal that touches the ooze dissolves on a d6 roll of 1-3.")</f>
        <v>Corrosive. Wood or metal that touches the ooze dissolves on a d6 roll of 1-3.</v>
      </c>
      <c r="S2" s="11"/>
      <c r="T2" s="11"/>
      <c r="U2" s="11"/>
      <c r="V2" s="11"/>
      <c r="W2" s="11"/>
      <c r="X2" s="11"/>
      <c r="Y2" s="11"/>
      <c r="Z2" s="11"/>
      <c r="AA2" s="11"/>
      <c r="AB2" s="11"/>
    </row>
    <row r="3" ht="15.75" customHeight="1">
      <c r="A3" s="11" t="str">
        <f>IFERROR(__xludf.DUMMYFUNCTION("""COMPUTED_VALUE"""),"Cave Brute")</f>
        <v>Cave Brute</v>
      </c>
      <c r="B3" s="12" t="str">
        <f>IFERROR(__xludf.DUMMYFUNCTION("""COMPUTED_VALUE"""),"")</f>
        <v/>
      </c>
      <c r="C3" s="11" t="str">
        <f>IFERROR(__xludf.DUMMYFUNCTION("""COMPUTED_VALUE"""),"CR")</f>
        <v>CR</v>
      </c>
      <c r="D3" s="11" t="str">
        <f>IFERROR(__xludf.DUMMYFUNCTION("""COMPUTED_VALUE"""),"A hulking, insectoid beast with
long mandibles, four eyes, and
thick arms covered in bristles.")</f>
        <v>A hulking, insectoid beast with
long mandibles, four eyes, and
thick arms covered in bristles.</v>
      </c>
      <c r="E3" s="11">
        <f>IFERROR(__xludf.DUMMYFUNCTION("""COMPUTED_VALUE"""),14.0)</f>
        <v>14</v>
      </c>
      <c r="F3" s="11">
        <f>IFERROR(__xludf.DUMMYFUNCTION("""COMPUTED_VALUE"""),28.0)</f>
        <v>28</v>
      </c>
      <c r="G3" s="11" t="str">
        <f>IFERROR(__xludf.DUMMYFUNCTION("""COMPUTED_VALUE"""),"2 claw +5 (1d8) and 1 mandible +5 (1d10)")</f>
        <v>2 claw +5 (1d8) and 1 mandible +5 (1d10)</v>
      </c>
      <c r="H3" s="11" t="str">
        <f>IFERROR(__xludf.DUMMYFUNCTION("""COMPUTED_VALUE"""),"near (burrow)")</f>
        <v>near (burrow)</v>
      </c>
      <c r="I3" s="11">
        <f>IFERROR(__xludf.DUMMYFUNCTION("""COMPUTED_VALUE"""),4.0)</f>
        <v>4</v>
      </c>
      <c r="J3" s="11">
        <f>IFERROR(__xludf.DUMMYFUNCTION("""COMPUTED_VALUE"""),1.0)</f>
        <v>1</v>
      </c>
      <c r="K3" s="11">
        <f>IFERROR(__xludf.DUMMYFUNCTION("""COMPUTED_VALUE"""),1.0)</f>
        <v>1</v>
      </c>
      <c r="L3" s="11">
        <f>IFERROR(__xludf.DUMMYFUNCTION("""COMPUTED_VALUE"""),-3.0)</f>
        <v>-3</v>
      </c>
      <c r="M3" s="11">
        <f>IFERROR(__xludf.DUMMYFUNCTION("""COMPUTED_VALUE"""),1.0)</f>
        <v>1</v>
      </c>
      <c r="N3" s="11">
        <f>IFERROR(__xludf.DUMMYFUNCTION("""COMPUTED_VALUE"""),-3.0)</f>
        <v>-3</v>
      </c>
      <c r="O3" s="11" t="str">
        <f>IFERROR(__xludf.DUMMYFUNCTION("""COMPUTED_VALUE"""),"N")</f>
        <v>N</v>
      </c>
      <c r="P3" s="13">
        <f>IFERROR(__xludf.DUMMYFUNCTION("""COMPUTED_VALUE"""),6.0)</f>
        <v>6</v>
      </c>
      <c r="Q3" s="11" t="str">
        <f>IFERROR(__xludf.DUMMYFUNCTION("""COMPUTED_VALUE"""),"Bewilder. Creatures within near that see the cave brute's eyes, DC 12 CHA at start of their turn or dazed and no action.")</f>
        <v>Bewilder. Creatures within near that see the cave brute's eyes, DC 12 CHA at start of their turn or dazed and no action.</v>
      </c>
      <c r="R3" s="11"/>
      <c r="S3" s="11"/>
      <c r="T3" s="11"/>
      <c r="U3" s="11"/>
      <c r="V3" s="11"/>
      <c r="W3" s="11"/>
      <c r="X3" s="11"/>
      <c r="Y3" s="11"/>
      <c r="Z3" s="11"/>
      <c r="AA3" s="11"/>
      <c r="AB3" s="11"/>
    </row>
    <row r="4" ht="15.75" customHeight="1">
      <c r="A4" s="11" t="str">
        <f>IFERROR(__xludf.DUMMYFUNCTION("""COMPUTED_VALUE"""),"Cloaker")</f>
        <v>Cloaker</v>
      </c>
      <c r="B4" s="12">
        <f>IFERROR(__xludf.DUMMYFUNCTION("""COMPUTED_VALUE"""),8.0)</f>
        <v>8</v>
      </c>
      <c r="C4" s="11" t="str">
        <f>IFERROR(__xludf.DUMMYFUNCTION("""COMPUTED_VALUE"""),"CR")</f>
        <v>CR</v>
      </c>
      <c r="D4" s="11" t="str">
        <f>IFERROR(__xludf.DUMMYFUNCTION("""COMPUTED_VALUE"""),"A midnight blue manta ray with a bony tail and crescent-shaped maw above its belly. It swoops through deep, lightless caverns.")</f>
        <v>A midnight blue manta ray with a bony tail and crescent-shaped maw above its belly. It swoops through deep, lightless caverns.</v>
      </c>
      <c r="E4" s="11">
        <f>IFERROR(__xludf.DUMMYFUNCTION("""COMPUTED_VALUE"""),13.0)</f>
        <v>13</v>
      </c>
      <c r="F4" s="11">
        <f>IFERROR(__xludf.DUMMYFUNCTION("""COMPUTED_VALUE"""),28.0)</f>
        <v>28</v>
      </c>
      <c r="G4" s="11" t="str">
        <f>IFERROR(__xludf.DUMMYFUNCTION("""COMPUTED_VALUE"""),"3 lash +4 (1d8) or 1 screech")</f>
        <v>3 lash +4 (1d8) or 1 screech</v>
      </c>
      <c r="H4" s="11" t="str">
        <f>IFERROR(__xludf.DUMMYFUNCTION("""COMPUTED_VALUE"""),"near (fly)")</f>
        <v>near (fly)</v>
      </c>
      <c r="I4" s="11">
        <f>IFERROR(__xludf.DUMMYFUNCTION("""COMPUTED_VALUE"""),2.0)</f>
        <v>2</v>
      </c>
      <c r="J4" s="11">
        <f>IFERROR(__xludf.DUMMYFUNCTION("""COMPUTED_VALUE"""),3.0)</f>
        <v>3</v>
      </c>
      <c r="K4" s="11">
        <f>IFERROR(__xludf.DUMMYFUNCTION("""COMPUTED_VALUE"""),1.0)</f>
        <v>1</v>
      </c>
      <c r="L4" s="11">
        <f>IFERROR(__xludf.DUMMYFUNCTION("""COMPUTED_VALUE"""),1.0)</f>
        <v>1</v>
      </c>
      <c r="M4" s="11">
        <f>IFERROR(__xludf.DUMMYFUNCTION("""COMPUTED_VALUE"""),1.0)</f>
        <v>1</v>
      </c>
      <c r="N4" s="11">
        <f>IFERROR(__xludf.DUMMYFUNCTION("""COMPUTED_VALUE"""),0.0)</f>
        <v>0</v>
      </c>
      <c r="O4" s="11" t="str">
        <f>IFERROR(__xludf.DUMMYFUNCTION("""COMPUTED_VALUE"""),"C")</f>
        <v>C</v>
      </c>
      <c r="P4" s="13">
        <f>IFERROR(__xludf.DUMMYFUNCTION("""COMPUTED_VALUE"""),6.0)</f>
        <v>6</v>
      </c>
      <c r="Q4" s="11" t="str">
        <f>IFERROR(__xludf.DUMMYFUNCTION("""COMPUTED_VALUE"""),"Phantoms. 1/day, in place of attacks. Create 3 illusory duplicates that disappear when hit. Determine randomly if an attack hits cloaker or illusions.")</f>
        <v>Phantoms. 1/day, in place of attacks. Create 3 illusory duplicates that disappear when hit. Determine randomly if an attack hits cloaker or illusions.</v>
      </c>
      <c r="R4" s="11" t="str">
        <f>IFERROR(__xludf.DUMMYFUNCTION("""COMPUTED_VALUE"""),"Screech. Enemies within double near DC 15 WIS or DISADV on attacks and checks 1d4 rounds.")</f>
        <v>Screech. Enemies within double near DC 15 WIS or DISADV on attacks and checks 1d4 rounds.</v>
      </c>
      <c r="S4" s="11"/>
      <c r="T4" s="11"/>
      <c r="U4" s="11"/>
      <c r="V4" s="11"/>
      <c r="W4" s="11"/>
      <c r="X4" s="11"/>
      <c r="Y4" s="11"/>
      <c r="Z4" s="11"/>
      <c r="AA4" s="11"/>
      <c r="AB4" s="11"/>
    </row>
    <row r="5" ht="15.75" customHeight="1">
      <c r="A5" s="11" t="str">
        <f>IFERROR(__xludf.DUMMYFUNCTION("""COMPUTED_VALUE"""),"Devil, Cubi")</f>
        <v>Devil, Cubi</v>
      </c>
      <c r="B5" s="12" t="str">
        <f>IFERROR(__xludf.DUMMYFUNCTION("""COMPUTED_VALUE"""),"")</f>
        <v/>
      </c>
      <c r="C5" s="11" t="str">
        <f>IFERROR(__xludf.DUMMYFUNCTION("""COMPUTED_VALUE"""),"CR")</f>
        <v>CR</v>
      </c>
      <c r="D5" s="11" t="str">
        <f>IFERROR(__xludf.DUMMYFUNCTION("""COMPUTED_VALUE"""),"Entrancing humanoids with bat wings and devilish charm.")</f>
        <v>Entrancing humanoids with bat wings and devilish charm.</v>
      </c>
      <c r="E5" s="11">
        <f>IFERROR(__xludf.DUMMYFUNCTION("""COMPUTED_VALUE"""),14.0)</f>
        <v>14</v>
      </c>
      <c r="F5" s="11">
        <f>IFERROR(__xludf.DUMMYFUNCTION("""COMPUTED_VALUE"""),29.0)</f>
        <v>29</v>
      </c>
      <c r="G5" s="11" t="str">
        <f>IFERROR(__xludf.DUMMYFUNCTION("""COMPUTED_VALUE"""),"1 kiss +4 (1d6 + drain) or 1 charm")</f>
        <v>1 kiss +4 (1d6 + drain) or 1 charm</v>
      </c>
      <c r="H5" s="11" t="str">
        <f>IFERROR(__xludf.DUMMYFUNCTION("""COMPUTED_VALUE"""),"near (fly)")</f>
        <v>near (fly)</v>
      </c>
      <c r="I5" s="11">
        <f>IFERROR(__xludf.DUMMYFUNCTION("""COMPUTED_VALUE"""),2.0)</f>
        <v>2</v>
      </c>
      <c r="J5" s="11">
        <f>IFERROR(__xludf.DUMMYFUNCTION("""COMPUTED_VALUE"""),4.0)</f>
        <v>4</v>
      </c>
      <c r="K5" s="11">
        <f>IFERROR(__xludf.DUMMYFUNCTION("""COMPUTED_VALUE"""),2.0)</f>
        <v>2</v>
      </c>
      <c r="L5" s="11">
        <f>IFERROR(__xludf.DUMMYFUNCTION("""COMPUTED_VALUE"""),3.0)</f>
        <v>3</v>
      </c>
      <c r="M5" s="11">
        <f>IFERROR(__xludf.DUMMYFUNCTION("""COMPUTED_VALUE"""),2.0)</f>
        <v>2</v>
      </c>
      <c r="N5" s="11">
        <f>IFERROR(__xludf.DUMMYFUNCTION("""COMPUTED_VALUE"""),5.0)</f>
        <v>5</v>
      </c>
      <c r="O5" s="11" t="str">
        <f>IFERROR(__xludf.DUMMYFUNCTION("""COMPUTED_VALUE"""),"C")</f>
        <v>C</v>
      </c>
      <c r="P5" s="13">
        <f>IFERROR(__xludf.DUMMYFUNCTION("""COMPUTED_VALUE"""),6.0)</f>
        <v>6</v>
      </c>
      <c r="Q5" s="11" t="str">
        <f>IFERROR(__xludf.DUMMYFUNCTION("""COMPUTED_VALUE"""),"Change Shape. In place of attacks, transform into any similarly-sized humanoid.")</f>
        <v>Change Shape. In place of attacks, transform into any similarly-sized humanoid.</v>
      </c>
      <c r="R5" s="11" t="str">
        <f>IFERROR(__xludf.DUMMYFUNCTION("""COMPUTED_VALUE"""),"Charm. One humanoid in near DC 15 CHA or bewitched by cubi for 1d6 hours.")</f>
        <v>Charm. One humanoid in near DC 15 CHA or bewitched by cubi for 1d6 hours.</v>
      </c>
      <c r="S5" s="11" t="str">
        <f>IFERROR(__xludf.DUMMYFUNCTION("""COMPUTED_VALUE"""),"Drain. The target takes 1d6 temporary WIS damage. A target reduced to 0 WIS this way swears its soul to an archdevil.")</f>
        <v>Drain. The target takes 1d6 temporary WIS damage. A target reduced to 0 WIS this way swears its soul to an archdevil.</v>
      </c>
      <c r="T5" s="11"/>
      <c r="U5" s="11"/>
      <c r="V5" s="11"/>
      <c r="W5" s="11"/>
      <c r="X5" s="11"/>
      <c r="Y5" s="11"/>
      <c r="Z5" s="11"/>
      <c r="AA5" s="11"/>
      <c r="AB5" s="11"/>
    </row>
    <row r="6" ht="15.75" customHeight="1">
      <c r="A6" s="11" t="str">
        <f>IFERROR(__xludf.DUMMYFUNCTION("""COMPUTED_VALUE"""),"Dinosaur, Plesiosaurus")</f>
        <v>Dinosaur, Plesiosaurus</v>
      </c>
      <c r="B6" s="12">
        <f>IFERROR(__xludf.DUMMYFUNCTION("""COMPUTED_VALUE"""),2.0)</f>
        <v>2</v>
      </c>
      <c r="C6" s="11" t="str">
        <f>IFERROR(__xludf.DUMMYFUNCTION("""COMPUTED_VALUE"""),"CR")</f>
        <v>CR</v>
      </c>
      <c r="D6" s="11" t="str">
        <f>IFERROR(__xludf.DUMMYFUNCTION("""COMPUTED_VALUE"""),"Aquatic reptiles as big as elephants. Flat flippers and narrow, toothy maws on long necks.")</f>
        <v>Aquatic reptiles as big as elephants. Flat flippers and narrow, toothy maws on long necks.</v>
      </c>
      <c r="E6" s="11">
        <f>IFERROR(__xludf.DUMMYFUNCTION("""COMPUTED_VALUE"""),13.0)</f>
        <v>13</v>
      </c>
      <c r="F6" s="11">
        <f>IFERROR(__xludf.DUMMYFUNCTION("""COMPUTED_VALUE"""),30.0)</f>
        <v>30</v>
      </c>
      <c r="G6" s="11" t="str">
        <f>IFERROR(__xludf.DUMMYFUNCTION("""COMPUTED_VALUE"""),"2 bite +5 (2d8)")</f>
        <v>2 bite +5 (2d8)</v>
      </c>
      <c r="H6" s="11" t="str">
        <f>IFERROR(__xludf.DUMMYFUNCTION("""COMPUTED_VALUE"""),"double near (swim)")</f>
        <v>double near (swim)</v>
      </c>
      <c r="I6" s="11">
        <f>IFERROR(__xludf.DUMMYFUNCTION("""COMPUTED_VALUE"""),4.0)</f>
        <v>4</v>
      </c>
      <c r="J6" s="11">
        <f>IFERROR(__xludf.DUMMYFUNCTION("""COMPUTED_VALUE"""),3.0)</f>
        <v>3</v>
      </c>
      <c r="K6" s="11">
        <f>IFERROR(__xludf.DUMMYFUNCTION("""COMPUTED_VALUE"""),3.0)</f>
        <v>3</v>
      </c>
      <c r="L6" s="11">
        <f>IFERROR(__xludf.DUMMYFUNCTION("""COMPUTED_VALUE"""),-3.0)</f>
        <v>-3</v>
      </c>
      <c r="M6" s="11">
        <f>IFERROR(__xludf.DUMMYFUNCTION("""COMPUTED_VALUE"""),1.0)</f>
        <v>1</v>
      </c>
      <c r="N6" s="11">
        <f>IFERROR(__xludf.DUMMYFUNCTION("""COMPUTED_VALUE"""),-3.0)</f>
        <v>-3</v>
      </c>
      <c r="O6" s="11" t="str">
        <f>IFERROR(__xludf.DUMMYFUNCTION("""COMPUTED_VALUE"""),"N")</f>
        <v>N</v>
      </c>
      <c r="P6" s="13">
        <f>IFERROR(__xludf.DUMMYFUNCTION("""COMPUTED_VALUE"""),6.0)</f>
        <v>6</v>
      </c>
      <c r="Q6" s="11"/>
      <c r="R6" s="11"/>
      <c r="S6" s="11"/>
      <c r="T6" s="11"/>
      <c r="U6" s="11"/>
      <c r="V6" s="11"/>
      <c r="W6" s="11"/>
      <c r="X6" s="11"/>
      <c r="Y6" s="11"/>
      <c r="Z6" s="11"/>
      <c r="AA6" s="11"/>
      <c r="AB6" s="11"/>
    </row>
    <row r="7" ht="15.75" customHeight="1">
      <c r="A7" s="11" t="str">
        <f>IFERROR(__xludf.DUMMYFUNCTION("""COMPUTED_VALUE"""),"Drow, Drider")</f>
        <v>Drow, Drider</v>
      </c>
      <c r="B7" s="12">
        <f>IFERROR(__xludf.DUMMYFUNCTION("""COMPUTED_VALUE"""),6.0)</f>
        <v>6</v>
      </c>
      <c r="C7" s="11" t="str">
        <f>IFERROR(__xludf.DUMMYFUNCTION("""COMPUTED_VALUE"""),"CR")</f>
        <v>CR</v>
      </c>
      <c r="D7" s="11" t="str">
        <f>IFERROR(__xludf.DUMMYFUNCTION("""COMPUTED_VALUE"""),"A monstrosity with the body of a giant spider and torso of a drow.")</f>
        <v>A monstrosity with the body of a giant spider and torso of a drow.</v>
      </c>
      <c r="E7" s="11">
        <f>IFERROR(__xludf.DUMMYFUNCTION("""COMPUTED_VALUE"""),16.0)</f>
        <v>16</v>
      </c>
      <c r="F7" s="11">
        <f>IFERROR(__xludf.DUMMYFUNCTION("""COMPUTED_VALUE"""),29.0)</f>
        <v>29</v>
      </c>
      <c r="G7" s="11" t="str">
        <f>IFERROR(__xludf.DUMMYFUNCTION("""COMPUTED_VALUE"""),"3 longsword +3 (1d8) or 2 longbow (far) +3 (1d8 + poison)")</f>
        <v>3 longsword +3 (1d8) or 2 longbow (far) +3 (1d8 + poison)</v>
      </c>
      <c r="H7" s="11" t="str">
        <f>IFERROR(__xludf.DUMMYFUNCTION("""COMPUTED_VALUE"""),"near (climb)")</f>
        <v>near (climb)</v>
      </c>
      <c r="I7" s="11">
        <f>IFERROR(__xludf.DUMMYFUNCTION("""COMPUTED_VALUE"""),3.0)</f>
        <v>3</v>
      </c>
      <c r="J7" s="11">
        <f>IFERROR(__xludf.DUMMYFUNCTION("""COMPUTED_VALUE"""),3.0)</f>
        <v>3</v>
      </c>
      <c r="K7" s="11">
        <f>IFERROR(__xludf.DUMMYFUNCTION("""COMPUTED_VALUE"""),2.0)</f>
        <v>2</v>
      </c>
      <c r="L7" s="11">
        <f>IFERROR(__xludf.DUMMYFUNCTION("""COMPUTED_VALUE"""),2.0)</f>
        <v>2</v>
      </c>
      <c r="M7" s="11">
        <f>IFERROR(__xludf.DUMMYFUNCTION("""COMPUTED_VALUE"""),2.0)</f>
        <v>2</v>
      </c>
      <c r="N7" s="11">
        <f>IFERROR(__xludf.DUMMYFUNCTION("""COMPUTED_VALUE"""),0.0)</f>
        <v>0</v>
      </c>
      <c r="O7" s="11" t="str">
        <f>IFERROR(__xludf.DUMMYFUNCTION("""COMPUTED_VALUE"""),"C")</f>
        <v>C</v>
      </c>
      <c r="P7" s="13">
        <f>IFERROR(__xludf.DUMMYFUNCTION("""COMPUTED_VALUE"""),6.0)</f>
        <v>6</v>
      </c>
      <c r="Q7" s="11" t="str">
        <f>IFERROR(__xludf.DUMMYFUNCTION("""COMPUTED_VALUE"""),"Poison. DC 15 CON or paralyzed 1d4 rounds.")</f>
        <v>Poison. DC 15 CON or paralyzed 1d4 rounds.</v>
      </c>
      <c r="R7" s="11" t="str">
        <f>IFERROR(__xludf.DUMMYFUNCTION("""COMPUTED_VALUE"""),"Sunblind. Blinded in bright light.")</f>
        <v>Sunblind. Blinded in bright light.</v>
      </c>
      <c r="S7" s="11"/>
      <c r="T7" s="11"/>
      <c r="U7" s="11"/>
      <c r="V7" s="11"/>
      <c r="W7" s="11"/>
      <c r="X7" s="11"/>
      <c r="Y7" s="11"/>
      <c r="Z7" s="11"/>
      <c r="AA7" s="11"/>
      <c r="AB7" s="11"/>
    </row>
    <row r="8" ht="15.75" customHeight="1">
      <c r="A8" s="11" t="str">
        <f>IFERROR(__xludf.DUMMYFUNCTION("""COMPUTED_VALUE"""),"Drow, Priestess")</f>
        <v>Drow, Priestess</v>
      </c>
      <c r="B8" s="12">
        <f>IFERROR(__xludf.DUMMYFUNCTION("""COMPUTED_VALUE"""),8.0)</f>
        <v>8</v>
      </c>
      <c r="C8" s="11" t="str">
        <f>IFERROR(__xludf.DUMMYFUNCTION("""COMPUTED_VALUE"""),"CR")</f>
        <v>CR</v>
      </c>
      <c r="D8" s="11" t="str">
        <f>IFERROR(__xludf.DUMMYFUNCTION("""COMPUTED_VALUE"""),"A statuesque female drow with a crown of metal spider webs and an imperious gaze.")</f>
        <v>A statuesque female drow with a crown of metal spider webs and an imperious gaze.</v>
      </c>
      <c r="E8" s="11">
        <f>IFERROR(__xludf.DUMMYFUNCTION("""COMPUTED_VALUE"""),16.0)</f>
        <v>16</v>
      </c>
      <c r="F8" s="11">
        <f>IFERROR(__xludf.DUMMYFUNCTION("""COMPUTED_VALUE"""),28.0)</f>
        <v>28</v>
      </c>
      <c r="G8" s="11" t="str">
        <f>IFERROR(__xludf.DUMMYFUNCTION("""COMPUTED_VALUE"""),"3 snake whip (near) +4 (1d8 + poison) or 1 spell +4")</f>
        <v>3 snake whip (near) +4 (1d8 + poison) or 1 spell +4</v>
      </c>
      <c r="H8" s="11" t="str">
        <f>IFERROR(__xludf.DUMMYFUNCTION("""COMPUTED_VALUE"""),"near")</f>
        <v>near</v>
      </c>
      <c r="I8" s="11">
        <f>IFERROR(__xludf.DUMMYFUNCTION("""COMPUTED_VALUE"""),2.0)</f>
        <v>2</v>
      </c>
      <c r="J8" s="11">
        <f>IFERROR(__xludf.DUMMYFUNCTION("""COMPUTED_VALUE"""),3.0)</f>
        <v>3</v>
      </c>
      <c r="K8" s="11">
        <f>IFERROR(__xludf.DUMMYFUNCTION("""COMPUTED_VALUE"""),1.0)</f>
        <v>1</v>
      </c>
      <c r="L8" s="11">
        <f>IFERROR(__xludf.DUMMYFUNCTION("""COMPUTED_VALUE"""),3.0)</f>
        <v>3</v>
      </c>
      <c r="M8" s="11">
        <f>IFERROR(__xludf.DUMMYFUNCTION("""COMPUTED_VALUE"""),4.0)</f>
        <v>4</v>
      </c>
      <c r="N8" s="11">
        <f>IFERROR(__xludf.DUMMYFUNCTION("""COMPUTED_VALUE"""),3.0)</f>
        <v>3</v>
      </c>
      <c r="O8" s="11" t="str">
        <f>IFERROR(__xludf.DUMMYFUNCTION("""COMPUTED_VALUE"""),"C")</f>
        <v>C</v>
      </c>
      <c r="P8" s="13">
        <f>IFERROR(__xludf.DUMMYFUNCTION("""COMPUTED_VALUE"""),6.0)</f>
        <v>6</v>
      </c>
      <c r="Q8" s="11" t="str">
        <f>IFERROR(__xludf.DUMMYFUNCTION("""COMPUTED_VALUE"""),"Poison. DC 15 CON or paralyzed 1d4 rounds.")</f>
        <v>Poison. DC 15 CON or paralyzed 1d4 rounds.</v>
      </c>
      <c r="R8" s="11" t="str">
        <f>IFERROR(__xludf.DUMMYFUNCTION("""COMPUTED_VALUE"""),"Sunblind. Blinded in bright light.")</f>
        <v>Sunblind. Blinded in bright light.</v>
      </c>
      <c r="S8" s="11" t="str">
        <f>IFERROR(__xludf.DUMMYFUNCTION("""COMPUTED_VALUE"""),"Snuff (WIS Spell). DC 12. Extinguish all light sources (even
magical) within near. ")</f>
        <v>Snuff (WIS Spell). DC 12. Extinguish all light sources (even
magical) within near. </v>
      </c>
      <c r="T8" s="11" t="str">
        <f>IFERROR(__xludf.DUMMYFUNCTION("""COMPUTED_VALUE"""),"Summon Spiders (WIS Spell).
DC 14. Summon 2d4 loyal giant
spiders that appear within near.
They stay for 5 rounds. ")</f>
        <v>Summon Spiders (WIS Spell).
DC 14. Summon 2d4 loyal giant
spiders that appear within near.
They stay for 5 rounds. </v>
      </c>
      <c r="U8" s="11" t="str">
        <f>IFERROR(__xludf.DUMMYFUNCTION("""COMPUTED_VALUE"""),"Web (WIS Spell). DC 13. A nearsized cube of webs within far immobilizes all inside it for 5 rounds. DC 15 STR on turn to break free.")</f>
        <v>Web (WIS Spell). DC 13. A nearsized cube of webs within far immobilizes all inside it for 5 rounds. DC 15 STR on turn to break free.</v>
      </c>
      <c r="V8" s="11"/>
      <c r="W8" s="11"/>
      <c r="X8" s="11"/>
      <c r="Y8" s="11"/>
      <c r="Z8" s="11"/>
      <c r="AA8" s="11"/>
      <c r="AB8" s="11"/>
    </row>
    <row r="9" ht="15.75" customHeight="1">
      <c r="A9" s="11" t="str">
        <f>IFERROR(__xludf.DUMMYFUNCTION("""COMPUTED_VALUE"""),"Ghost")</f>
        <v>Ghost</v>
      </c>
      <c r="B9" s="12">
        <f>IFERROR(__xludf.DUMMYFUNCTION("""COMPUTED_VALUE"""),4.0)</f>
        <v>4</v>
      </c>
      <c r="C9" s="11" t="str">
        <f>IFERROR(__xludf.DUMMYFUNCTION("""COMPUTED_VALUE"""),"CR")</f>
        <v>CR</v>
      </c>
      <c r="D9" s="11" t="str">
        <f>IFERROR(__xludf.DUMMYFUNCTION("""COMPUTED_VALUE"""),"A wavering spirit with a face contorted in rage or sadness.")</f>
        <v>A wavering spirit with a face contorted in rage or sadness.</v>
      </c>
      <c r="E9" s="11">
        <f>IFERROR(__xludf.DUMMYFUNCTION("""COMPUTED_VALUE"""),13.0)</f>
        <v>13</v>
      </c>
      <c r="F9" s="11">
        <f>IFERROR(__xludf.DUMMYFUNCTION("""COMPUTED_VALUE"""),27.0)</f>
        <v>27</v>
      </c>
      <c r="G9" s="11" t="str">
        <f>IFERROR(__xludf.DUMMYFUNCTION("""COMPUTED_VALUE"""),"2 death touch +5 (1d8 + life drain) or 1 possess")</f>
        <v>2 death touch +5 (1d8 + life drain) or 1 possess</v>
      </c>
      <c r="H9" s="11" t="str">
        <f>IFERROR(__xludf.DUMMYFUNCTION("""COMPUTED_VALUE"""),"near (fly)")</f>
        <v>near (fly)</v>
      </c>
      <c r="I9" s="11">
        <f>IFERROR(__xludf.DUMMYFUNCTION("""COMPUTED_VALUE"""),-2.0)</f>
        <v>-2</v>
      </c>
      <c r="J9" s="11">
        <f>IFERROR(__xludf.DUMMYFUNCTION("""COMPUTED_VALUE"""),3.0)</f>
        <v>3</v>
      </c>
      <c r="K9" s="11">
        <f>IFERROR(__xludf.DUMMYFUNCTION("""COMPUTED_VALUE"""),0.0)</f>
        <v>0</v>
      </c>
      <c r="L9" s="11">
        <f>IFERROR(__xludf.DUMMYFUNCTION("""COMPUTED_VALUE"""),0.0)</f>
        <v>0</v>
      </c>
      <c r="M9" s="11">
        <f>IFERROR(__xludf.DUMMYFUNCTION("""COMPUTED_VALUE"""),0.0)</f>
        <v>0</v>
      </c>
      <c r="N9" s="11">
        <f>IFERROR(__xludf.DUMMYFUNCTION("""COMPUTED_VALUE"""),4.0)</f>
        <v>4</v>
      </c>
      <c r="O9" s="11" t="str">
        <f>IFERROR(__xludf.DUMMYFUNCTION("""COMPUTED_VALUE"""),"C")</f>
        <v>C</v>
      </c>
      <c r="P9" s="13">
        <f>IFERROR(__xludf.DUMMYFUNCTION("""COMPUTED_VALUE"""),6.0)</f>
        <v>6</v>
      </c>
      <c r="Q9" s="11" t="str">
        <f>IFERROR(__xludf.DUMMYFUNCTION("""COMPUTED_VALUE"""),"Greater Undead. Immune to morale checks. Only damaged by silver or magical sources.")</f>
        <v>Greater Undead. Immune to morale checks. Only damaged by silver or magical sources.</v>
      </c>
      <c r="R9" s="11" t="str">
        <f>IFERROR(__xludf.DUMMYFUNCTION("""COMPUTED_VALUE"""),"Life Drain. 1d4 CON damage. Death if reduced to 0 CON.")</f>
        <v>Life Drain. 1d4 CON damage. Death if reduced to 0 CON.</v>
      </c>
      <c r="S9" s="11" t="str">
        <f>IFERROR(__xludf.DUMMYFUNCTION("""COMPUTED_VALUE"""),"Possess. One target, close range. Contested Charisma check. If ghost wins, it inhabits the target's body and controls its actions for 2d4 rounds.")</f>
        <v>Possess. One target, close range. Contested Charisma check. If ghost wins, it inhabits the target's body and controls its actions for 2d4 rounds.</v>
      </c>
      <c r="T9" s="11"/>
      <c r="U9" s="11"/>
      <c r="V9" s="11"/>
      <c r="W9" s="11"/>
      <c r="X9" s="11"/>
      <c r="Y9" s="11"/>
      <c r="Z9" s="11"/>
      <c r="AA9" s="11"/>
      <c r="AB9" s="11"/>
    </row>
    <row r="10" ht="15.75" customHeight="1">
      <c r="A10" s="11" t="str">
        <f>IFERROR(__xludf.DUMMYFUNCTION("""COMPUTED_VALUE"""),"Hag, Sea")</f>
        <v>Hag, Sea</v>
      </c>
      <c r="B10" s="12">
        <f>IFERROR(__xludf.DUMMYFUNCTION("""COMPUTED_VALUE"""),2.0)</f>
        <v>2</v>
      </c>
      <c r="C10" s="11" t="str">
        <f>IFERROR(__xludf.DUMMYFUNCTION("""COMPUTED_VALUE"""),"CR")</f>
        <v>CR</v>
      </c>
      <c r="D10" s="11" t="str">
        <f>IFERROR(__xludf.DUMMYFUNCTION("""COMPUTED_VALUE"""),"A green, sunken-faced woman. Seaweed hair and oozing flesh.")</f>
        <v>A green, sunken-faced woman. Seaweed hair and oozing flesh.</v>
      </c>
      <c r="E10" s="11">
        <f>IFERROR(__xludf.DUMMYFUNCTION("""COMPUTED_VALUE"""),15.0)</f>
        <v>15</v>
      </c>
      <c r="F10" s="11">
        <f>IFERROR(__xludf.DUMMYFUNCTION("""COMPUTED_VALUE"""),28.0)</f>
        <v>28</v>
      </c>
      <c r="G10" s="11" t="str">
        <f>IFERROR(__xludf.DUMMYFUNCTION("""COMPUTED_VALUE"""),"2 claw +4 (1d8)")</f>
        <v>2 claw +4 (1d8)</v>
      </c>
      <c r="H10" s="11" t="str">
        <f>IFERROR(__xludf.DUMMYFUNCTION("""COMPUTED_VALUE"""),"near (swim)")</f>
        <v>near (swim)</v>
      </c>
      <c r="I10" s="11">
        <f>IFERROR(__xludf.DUMMYFUNCTION("""COMPUTED_VALUE"""),2.0)</f>
        <v>2</v>
      </c>
      <c r="J10" s="11">
        <f>IFERROR(__xludf.DUMMYFUNCTION("""COMPUTED_VALUE"""),3.0)</f>
        <v>3</v>
      </c>
      <c r="K10" s="11">
        <f>IFERROR(__xludf.DUMMYFUNCTION("""COMPUTED_VALUE"""),1.0)</f>
        <v>1</v>
      </c>
      <c r="L10" s="11">
        <f>IFERROR(__xludf.DUMMYFUNCTION("""COMPUTED_VALUE"""),1.0)</f>
        <v>1</v>
      </c>
      <c r="M10" s="11">
        <f>IFERROR(__xludf.DUMMYFUNCTION("""COMPUTED_VALUE"""),2.0)</f>
        <v>2</v>
      </c>
      <c r="N10" s="11">
        <f>IFERROR(__xludf.DUMMYFUNCTION("""COMPUTED_VALUE"""),2.0)</f>
        <v>2</v>
      </c>
      <c r="O10" s="11" t="str">
        <f>IFERROR(__xludf.DUMMYFUNCTION("""COMPUTED_VALUE"""),"C")</f>
        <v>C</v>
      </c>
      <c r="P10" s="13">
        <f>IFERROR(__xludf.DUMMYFUNCTION("""COMPUTED_VALUE"""),6.0)</f>
        <v>6</v>
      </c>
      <c r="Q10" s="11" t="str">
        <f>IFERROR(__xludf.DUMMYFUNCTION("""COMPUTED_VALUE"""),"Shapechange. Instantly change to look like any other humanoid.")</f>
        <v>Shapechange. Instantly change to look like any other humanoid.</v>
      </c>
      <c r="R10" s="11" t="str">
        <f>IFERROR(__xludf.DUMMYFUNCTION("""COMPUTED_VALUE"""),"Terrify. A creature who first sees her true form DC 15 CHA or DISADV on attacks 1d4 rounds.")</f>
        <v>Terrify. A creature who first sees her true form DC 15 CHA or DISADV on attacks 1d4 rounds.</v>
      </c>
      <c r="S10" s="11"/>
      <c r="T10" s="11"/>
      <c r="U10" s="11"/>
      <c r="V10" s="11"/>
      <c r="W10" s="11"/>
      <c r="X10" s="11"/>
      <c r="Y10" s="11"/>
      <c r="Z10" s="11"/>
      <c r="AA10" s="11"/>
      <c r="AB10" s="11"/>
    </row>
    <row r="11" ht="15.75" customHeight="1">
      <c r="A11" s="11" t="str">
        <f>IFERROR(__xludf.DUMMYFUNCTION("""COMPUTED_VALUE"""),"Hag, Weald")</f>
        <v>Hag, Weald</v>
      </c>
      <c r="B11" s="12">
        <f>IFERROR(__xludf.DUMMYFUNCTION("""COMPUTED_VALUE"""),3.0)</f>
        <v>3</v>
      </c>
      <c r="C11" s="11" t="str">
        <f>IFERROR(__xludf.DUMMYFUNCTION("""COMPUTED_VALUE"""),"CR")</f>
        <v>CR</v>
      </c>
      <c r="D11" s="11" t="str">
        <f>IFERROR(__xludf.DUMMYFUNCTION("""COMPUTED_VALUE"""),"Eyes dark as moonless nights, skin made of rotting wood, hair of tangled roots and vines.")</f>
        <v>Eyes dark as moonless nights, skin made of rotting wood, hair of tangled roots and vines.</v>
      </c>
      <c r="E11" s="11">
        <f>IFERROR(__xludf.DUMMYFUNCTION("""COMPUTED_VALUE"""),14.0)</f>
        <v>14</v>
      </c>
      <c r="F11" s="11">
        <f>IFERROR(__xludf.DUMMYFUNCTION("""COMPUTED_VALUE"""),28.0)</f>
        <v>28</v>
      </c>
      <c r="G11" s="11" t="str">
        <f>IFERROR(__xludf.DUMMYFUNCTION("""COMPUTED_VALUE"""),"2 claw +4 (1d8) or 1 drink pain")</f>
        <v>2 claw +4 (1d8) or 1 drink pain</v>
      </c>
      <c r="H11" s="11" t="str">
        <f>IFERROR(__xludf.DUMMYFUNCTION("""COMPUTED_VALUE"""),"near")</f>
        <v>near</v>
      </c>
      <c r="I11" s="11">
        <f>IFERROR(__xludf.DUMMYFUNCTION("""COMPUTED_VALUE"""),3.0)</f>
        <v>3</v>
      </c>
      <c r="J11" s="11">
        <f>IFERROR(__xludf.DUMMYFUNCTION("""COMPUTED_VALUE"""),2.0)</f>
        <v>2</v>
      </c>
      <c r="K11" s="11">
        <f>IFERROR(__xludf.DUMMYFUNCTION("""COMPUTED_VALUE"""),1.0)</f>
        <v>1</v>
      </c>
      <c r="L11" s="11">
        <f>IFERROR(__xludf.DUMMYFUNCTION("""COMPUTED_VALUE"""),1.0)</f>
        <v>1</v>
      </c>
      <c r="M11" s="11">
        <f>IFERROR(__xludf.DUMMYFUNCTION("""COMPUTED_VALUE"""),2.0)</f>
        <v>2</v>
      </c>
      <c r="N11" s="11">
        <f>IFERROR(__xludf.DUMMYFUNCTION("""COMPUTED_VALUE"""),3.0)</f>
        <v>3</v>
      </c>
      <c r="O11" s="11" t="str">
        <f>IFERROR(__xludf.DUMMYFUNCTION("""COMPUTED_VALUE"""),"C")</f>
        <v>C</v>
      </c>
      <c r="P11" s="13">
        <f>IFERROR(__xludf.DUMMYFUNCTION("""COMPUTED_VALUE"""),6.0)</f>
        <v>6</v>
      </c>
      <c r="Q11" s="11" t="str">
        <f>IFERROR(__xludf.DUMMYFUNCTION("""COMPUTED_VALUE"""),"Drink Pain. Near range. DC 12 CHA to deal 2d4 damage to a creature; regain that many HP.")</f>
        <v>Drink Pain. Near range. DC 12 CHA to deal 2d4 damage to a creature; regain that many HP.</v>
      </c>
      <c r="R11" s="11" t="str">
        <f>IFERROR(__xludf.DUMMYFUNCTION("""COMPUTED_VALUE"""),"Shapechange. Instantly change to look like any other humanoid.")</f>
        <v>Shapechange. Instantly change to look like any other humanoid.</v>
      </c>
      <c r="S11" s="11"/>
      <c r="T11" s="11"/>
      <c r="U11" s="11"/>
      <c r="V11" s="11"/>
      <c r="W11" s="11"/>
      <c r="X11" s="11"/>
      <c r="Y11" s="11"/>
      <c r="Z11" s="11"/>
      <c r="AA11" s="11"/>
      <c r="AB11" s="11"/>
    </row>
    <row r="12" ht="15.75" customHeight="1">
      <c r="A12" s="11" t="str">
        <f>IFERROR(__xludf.DUMMYFUNCTION("""COMPUTED_VALUE"""),"Invisible Stalker")</f>
        <v>Invisible Stalker</v>
      </c>
      <c r="B12" s="12">
        <f>IFERROR(__xludf.DUMMYFUNCTION("""COMPUTED_VALUE"""),6.0)</f>
        <v>6</v>
      </c>
      <c r="C12" s="11" t="str">
        <f>IFERROR(__xludf.DUMMYFUNCTION("""COMPUTED_VALUE"""),"CR")</f>
        <v>CR</v>
      </c>
      <c r="D12" s="11" t="str">
        <f>IFERROR(__xludf.DUMMYFUNCTION("""COMPUTED_VALUE"""),"Intelligent creatures made of flowing air. Often bound to the bidding of evil sorcerers.")</f>
        <v>Intelligent creatures made of flowing air. Often bound to the bidding of evil sorcerers.</v>
      </c>
      <c r="E12" s="11">
        <f>IFERROR(__xludf.DUMMYFUNCTION("""COMPUTED_VALUE"""),13.0)</f>
        <v>13</v>
      </c>
      <c r="F12" s="11">
        <f>IFERROR(__xludf.DUMMYFUNCTION("""COMPUTED_VALUE"""),29.0)</f>
        <v>29</v>
      </c>
      <c r="G12" s="11" t="str">
        <f>IFERROR(__xludf.DUMMYFUNCTION("""COMPUTED_VALUE"""),"3 pummel +4 (1d6)")</f>
        <v>3 pummel +4 (1d6)</v>
      </c>
      <c r="H12" s="11" t="str">
        <f>IFERROR(__xludf.DUMMYFUNCTION("""COMPUTED_VALUE"""),"near (fly)")</f>
        <v>near (fly)</v>
      </c>
      <c r="I12" s="11">
        <f>IFERROR(__xludf.DUMMYFUNCTION("""COMPUTED_VALUE"""),2.0)</f>
        <v>2</v>
      </c>
      <c r="J12" s="11">
        <f>IFERROR(__xludf.DUMMYFUNCTION("""COMPUTED_VALUE"""),3.0)</f>
        <v>3</v>
      </c>
      <c r="K12" s="11">
        <f>IFERROR(__xludf.DUMMYFUNCTION("""COMPUTED_VALUE"""),2.0)</f>
        <v>2</v>
      </c>
      <c r="L12" s="11">
        <f>IFERROR(__xludf.DUMMYFUNCTION("""COMPUTED_VALUE"""),2.0)</f>
        <v>2</v>
      </c>
      <c r="M12" s="11">
        <f>IFERROR(__xludf.DUMMYFUNCTION("""COMPUTED_VALUE"""),1.0)</f>
        <v>1</v>
      </c>
      <c r="N12" s="11">
        <f>IFERROR(__xludf.DUMMYFUNCTION("""COMPUTED_VALUE"""),0.0)</f>
        <v>0</v>
      </c>
      <c r="O12" s="11" t="str">
        <f>IFERROR(__xludf.DUMMYFUNCTION("""COMPUTED_VALUE"""),"N")</f>
        <v>N</v>
      </c>
      <c r="P12" s="13">
        <f>IFERROR(__xludf.DUMMYFUNCTION("""COMPUTED_VALUE"""),6.0)</f>
        <v>6</v>
      </c>
      <c r="Q12" s="11" t="str">
        <f>IFERROR(__xludf.DUMMYFUNCTION("""COMPUTED_VALUE"""),"Bound. A secret, mundane contingency (such as the touch of a feather) ends the invisible stalker's magical servitude.")</f>
        <v>Bound. A secret, mundane contingency (such as the touch of a feather) ends the invisible stalker's magical servitude.</v>
      </c>
      <c r="R12" s="11" t="str">
        <f>IFERROR(__xludf.DUMMYFUNCTION("""COMPUTED_VALUE"""),"Invisible. Naturally invisible.")</f>
        <v>Invisible. Naturally invisible.</v>
      </c>
      <c r="S12" s="11" t="str">
        <f>IFERROR(__xludf.DUMMYFUNCTION("""COMPUTED_VALUE"""),"Tracking. Can always sense the direction of its chosen quarry.")</f>
        <v>Tracking. Can always sense the direction of its chosen quarry.</v>
      </c>
      <c r="T12" s="11"/>
      <c r="U12" s="11"/>
      <c r="V12" s="11"/>
      <c r="W12" s="11"/>
      <c r="X12" s="11"/>
      <c r="Y12" s="11"/>
      <c r="Z12" s="11"/>
      <c r="AA12" s="11"/>
      <c r="AB12" s="11"/>
    </row>
    <row r="13" ht="15.75" customHeight="1">
      <c r="A13" s="11" t="str">
        <f>IFERROR(__xludf.DUMMYFUNCTION("""COMPUTED_VALUE"""),"Mage")</f>
        <v>Mage</v>
      </c>
      <c r="B13" s="12">
        <f>IFERROR(__xludf.DUMMYFUNCTION("""COMPUTED_VALUE"""),6.0)</f>
        <v>6</v>
      </c>
      <c r="C13" s="11" t="str">
        <f>IFERROR(__xludf.DUMMYFUNCTION("""COMPUTED_VALUE"""),"CR")</f>
        <v>CR</v>
      </c>
      <c r="D13" s="11" t="str">
        <f>IFERROR(__xludf.DUMMYFUNCTION("""COMPUTED_VALUE"""),"Trained wizards who are often members of a sorcerous order.")</f>
        <v>Trained wizards who are often members of a sorcerous order.</v>
      </c>
      <c r="E13" s="11">
        <f>IFERROR(__xludf.DUMMYFUNCTION("""COMPUTED_VALUE"""),11.0)</f>
        <v>11</v>
      </c>
      <c r="F13" s="11">
        <f>IFERROR(__xludf.DUMMYFUNCTION("""COMPUTED_VALUE"""),27.0)</f>
        <v>27</v>
      </c>
      <c r="G13" s="11" t="str">
        <f>IFERROR(__xludf.DUMMYFUNCTION("""COMPUTED_VALUE"""),"1 spell +5")</f>
        <v>1 spell +5</v>
      </c>
      <c r="H13" s="11" t="str">
        <f>IFERROR(__xludf.DUMMYFUNCTION("""COMPUTED_VALUE"""),"near")</f>
        <v>near</v>
      </c>
      <c r="I13" s="11">
        <f>IFERROR(__xludf.DUMMYFUNCTION("""COMPUTED_VALUE"""),-1.0)</f>
        <v>-1</v>
      </c>
      <c r="J13" s="11">
        <f>IFERROR(__xludf.DUMMYFUNCTION("""COMPUTED_VALUE"""),1.0)</f>
        <v>1</v>
      </c>
      <c r="K13" s="11">
        <f>IFERROR(__xludf.DUMMYFUNCTION("""COMPUTED_VALUE"""),0.0)</f>
        <v>0</v>
      </c>
      <c r="L13" s="11">
        <f>IFERROR(__xludf.DUMMYFUNCTION("""COMPUTED_VALUE"""),3.0)</f>
        <v>3</v>
      </c>
      <c r="M13" s="11">
        <f>IFERROR(__xludf.DUMMYFUNCTION("""COMPUTED_VALUE"""),1.0)</f>
        <v>1</v>
      </c>
      <c r="N13" s="11">
        <f>IFERROR(__xludf.DUMMYFUNCTION("""COMPUTED_VALUE"""),0.0)</f>
        <v>0</v>
      </c>
      <c r="O13" s="11" t="str">
        <f>IFERROR(__xludf.DUMMYFUNCTION("""COMPUTED_VALUE"""),"L")</f>
        <v>L</v>
      </c>
      <c r="P13" s="13">
        <f>IFERROR(__xludf.DUMMYFUNCTION("""COMPUTED_VALUE"""),6.0)</f>
        <v>6</v>
      </c>
      <c r="Q13" s="14" t="str">
        <f>IFERROR(__xludf.DUMMYFUNCTION("""COMPUTED_VALUE"""),"Arcane Armor (INT Spell). Self. DC 12. AC 16 for 2d4 rounds.")</f>
        <v>Arcane Armor (INT Spell). Self. DC 12. AC 16 for 2d4 rounds.</v>
      </c>
      <c r="R13" s="14" t="str">
        <f>IFERROR(__xludf.DUMMYFUNCTION("""COMPUTED_VALUE"""),"Blast (INT Spell). DC 12. Far, one target. 2d6 damage.")</f>
        <v>Blast (INT Spell). DC 12. Far, one target. 2d6 damage.</v>
      </c>
      <c r="S13" s="14" t="str">
        <f>IFERROR(__xludf.DUMMYFUNCTION("""COMPUTED_VALUE"""),"Cancel (INT Spell). DC 13. End one spell affecting a target within near.")</f>
        <v>Cancel (INT Spell). DC 13. End one spell affecting a target within near.</v>
      </c>
      <c r="T13" s="14" t="str">
        <f>IFERROR(__xludf.DUMMYFUNCTION("""COMPUTED_VALUE"""),"Levitate (INT Spell). DC 12. Close. Focus. Hover near for duration, vertical movement only.")</f>
        <v>Levitate (INT Spell). DC 12. Close. Focus. Hover near for duration, vertical movement only.</v>
      </c>
      <c r="U13" s="14" t="str">
        <f>IFERROR(__xludf.DUMMYFUNCTION("""COMPUTED_VALUE"""),"Snare (INT Spell). DC 13. Focus. One humanoid target within near paralyzed for duration.")</f>
        <v>Snare (INT Spell). DC 13. Focus. One humanoid target within near paralyzed for duration.</v>
      </c>
      <c r="V13" s="14"/>
      <c r="W13" s="11"/>
      <c r="X13" s="11"/>
      <c r="Y13" s="11"/>
      <c r="Z13" s="11"/>
      <c r="AA13" s="11"/>
      <c r="AB13" s="11"/>
    </row>
    <row r="14" ht="15.75" customHeight="1">
      <c r="A14" s="11" t="str">
        <f>IFERROR(__xludf.DUMMYFUNCTION("""COMPUTED_VALUE"""),"Manticore")</f>
        <v>Manticore</v>
      </c>
      <c r="B14" s="12">
        <f>IFERROR(__xludf.DUMMYFUNCTION("""COMPUTED_VALUE"""),3.0)</f>
        <v>3</v>
      </c>
      <c r="C14" s="11" t="str">
        <f>IFERROR(__xludf.DUMMYFUNCTION("""COMPUTED_VALUE"""),"CR")</f>
        <v>CR</v>
      </c>
      <c r="D14" s="11" t="str">
        <f>IFERROR(__xludf.DUMMYFUNCTION("""COMPUTED_VALUE"""),"Human-faced lions with bat")</f>
        <v>Human-faced lions with bat</v>
      </c>
      <c r="E14" s="11">
        <f>IFERROR(__xludf.DUMMYFUNCTION("""COMPUTED_VALUE"""),14.0)</f>
        <v>14</v>
      </c>
      <c r="F14" s="11">
        <f>IFERROR(__xludf.DUMMYFUNCTION("""COMPUTED_VALUE"""),29.0)</f>
        <v>29</v>
      </c>
      <c r="G14" s="11" t="str">
        <f>IFERROR(__xludf.DUMMYFUNCTION("""COMPUTED_VALUE"""),"2 rend +6 (2d6) or 2 tail spike (far) +4 (1d8)")</f>
        <v>2 rend +6 (2d6) or 2 tail spike (far) +4 (1d8)</v>
      </c>
      <c r="H14" s="11" t="str">
        <f>IFERROR(__xludf.DUMMYFUNCTION("""COMPUTED_VALUE"""),"double near (fly)")</f>
        <v>double near (fly)</v>
      </c>
      <c r="I14" s="11">
        <f>IFERROR(__xludf.DUMMYFUNCTION("""COMPUTED_VALUE"""),4.0)</f>
        <v>4</v>
      </c>
      <c r="J14" s="11">
        <f>IFERROR(__xludf.DUMMYFUNCTION("""COMPUTED_VALUE"""),2.0)</f>
        <v>2</v>
      </c>
      <c r="K14" s="11">
        <f>IFERROR(__xludf.DUMMYFUNCTION("""COMPUTED_VALUE"""),2.0)</f>
        <v>2</v>
      </c>
      <c r="L14" s="11">
        <f>IFERROR(__xludf.DUMMYFUNCTION("""COMPUTED_VALUE"""),-2.0)</f>
        <v>-2</v>
      </c>
      <c r="M14" s="11">
        <f>IFERROR(__xludf.DUMMYFUNCTION("""COMPUTED_VALUE"""),1.0)</f>
        <v>1</v>
      </c>
      <c r="N14" s="11">
        <f>IFERROR(__xludf.DUMMYFUNCTION("""COMPUTED_VALUE"""),-2.0)</f>
        <v>-2</v>
      </c>
      <c r="O14" s="11" t="str">
        <f>IFERROR(__xludf.DUMMYFUNCTION("""COMPUTED_VALUE"""),"C")</f>
        <v>C</v>
      </c>
      <c r="P14" s="13">
        <f>IFERROR(__xludf.DUMMYFUNCTION("""COMPUTED_VALUE"""),6.0)</f>
        <v>6</v>
      </c>
      <c r="Q14" s="11" t="str">
        <f>IFERROR(__xludf.DUMMYFUNCTION("""COMPUTED_VALUE"""),"Spikes. Manticores have 4d6 tail spikes. They regrow each day.")</f>
        <v>Spikes. Manticores have 4d6 tail spikes. They regrow each day.</v>
      </c>
      <c r="R14" s="11"/>
      <c r="S14" s="11"/>
      <c r="T14" s="11"/>
      <c r="U14" s="11"/>
      <c r="V14" s="11"/>
      <c r="W14" s="11"/>
      <c r="X14" s="11"/>
      <c r="Y14" s="11"/>
      <c r="Z14" s="11"/>
      <c r="AA14" s="11"/>
      <c r="AB14" s="11"/>
    </row>
    <row r="15" ht="15.75" customHeight="1">
      <c r="A15" s="11" t="str">
        <f>IFERROR(__xludf.DUMMYFUNCTION("""COMPUTED_VALUE"""),"Naga, Bone")</f>
        <v>Naga, Bone</v>
      </c>
      <c r="B15" s="12" t="str">
        <f>IFERROR(__xludf.DUMMYFUNCTION("""COMPUTED_VALUE"""),"")</f>
        <v/>
      </c>
      <c r="C15" s="11" t="str">
        <f>IFERROR(__xludf.DUMMYFUNCTION("""COMPUTED_VALUE"""),"CR")</f>
        <v>CR</v>
      </c>
      <c r="D15" s="11" t="str">
        <f>IFERROR(__xludf.DUMMYFUNCTION("""COMPUTED_VALUE"""),"Mindless, skeletal husks of nagas reanimated by sorcery.")</f>
        <v>Mindless, skeletal husks of nagas reanimated by sorcery.</v>
      </c>
      <c r="E15" s="11">
        <f>IFERROR(__xludf.DUMMYFUNCTION("""COMPUTED_VALUE"""),13.0)</f>
        <v>13</v>
      </c>
      <c r="F15" s="11">
        <f>IFERROR(__xludf.DUMMYFUNCTION("""COMPUTED_VALUE"""),31.0)</f>
        <v>31</v>
      </c>
      <c r="G15" s="11" t="str">
        <f>IFERROR(__xludf.DUMMYFUNCTION("""COMPUTED_VALUE"""),"2 bite +5")</f>
        <v>2 bite +5</v>
      </c>
      <c r="H15" s="11" t="str">
        <f>IFERROR(__xludf.DUMMYFUNCTION("""COMPUTED_VALUE"""),"near (burrow, climb)")</f>
        <v>near (burrow, climb)</v>
      </c>
      <c r="I15" s="11">
        <f>IFERROR(__xludf.DUMMYFUNCTION("""COMPUTED_VALUE"""),3.0)</f>
        <v>3</v>
      </c>
      <c r="J15" s="11">
        <f>IFERROR(__xludf.DUMMYFUNCTION("""COMPUTED_VALUE"""),2.0)</f>
        <v>2</v>
      </c>
      <c r="K15" s="11">
        <f>IFERROR(__xludf.DUMMYFUNCTION("""COMPUTED_VALUE"""),4.0)</f>
        <v>4</v>
      </c>
      <c r="L15" s="11">
        <f>IFERROR(__xludf.DUMMYFUNCTION("""COMPUTED_VALUE"""),-3.0)</f>
        <v>-3</v>
      </c>
      <c r="M15" s="11">
        <f>IFERROR(__xludf.DUMMYFUNCTION("""COMPUTED_VALUE"""),0.0)</f>
        <v>0</v>
      </c>
      <c r="N15" s="11">
        <f>IFERROR(__xludf.DUMMYFUNCTION("""COMPUTED_VALUE"""),4.0)</f>
        <v>4</v>
      </c>
      <c r="O15" s="11" t="str">
        <f>IFERROR(__xludf.DUMMYFUNCTION("""COMPUTED_VALUE"""),"C")</f>
        <v>C</v>
      </c>
      <c r="P15" s="13">
        <f>IFERROR(__xludf.DUMMYFUNCTION("""COMPUTED_VALUE"""),6.0)</f>
        <v>6</v>
      </c>
      <c r="Q15" s="11" t="str">
        <f>IFERROR(__xludf.DUMMYFUNCTION("""COMPUTED_VALUE"""),"Greater Undead. Immune to morale checks. Only damaged by silver or magical sources.")</f>
        <v>Greater Undead. Immune to morale checks. Only damaged by silver or magical sources.</v>
      </c>
      <c r="R15" s="11"/>
      <c r="S15" s="11"/>
      <c r="T15" s="11"/>
      <c r="U15" s="11"/>
      <c r="V15" s="11"/>
      <c r="W15" s="11"/>
      <c r="X15" s="11"/>
      <c r="Y15" s="11"/>
      <c r="Z15" s="11"/>
      <c r="AA15" s="11"/>
      <c r="AB15" s="11"/>
    </row>
    <row r="16" ht="15.75" customHeight="1">
      <c r="A16" s="11" t="str">
        <f>IFERROR(__xludf.DUMMYFUNCTION("""COMPUTED_VALUE"""),"Nightmare")</f>
        <v>Nightmare</v>
      </c>
      <c r="B16" s="12">
        <f>IFERROR(__xludf.DUMMYFUNCTION("""COMPUTED_VALUE"""),3.0)</f>
        <v>3</v>
      </c>
      <c r="C16" s="11" t="str">
        <f>IFERROR(__xludf.DUMMYFUNCTION("""COMPUTED_VALUE"""),"CR")</f>
        <v>CR</v>
      </c>
      <c r="D16" s="11" t="str">
        <f>IFERROR(__xludf.DUMMYFUNCTION("""COMPUTED_VALUE"""),"Black warhorses with flaming manes, hooves, and eyes.")</f>
        <v>Black warhorses with flaming manes, hooves, and eyes.</v>
      </c>
      <c r="E16" s="11">
        <f>IFERROR(__xludf.DUMMYFUNCTION("""COMPUTED_VALUE"""),13.0)</f>
        <v>13</v>
      </c>
      <c r="F16" s="11">
        <f>IFERROR(__xludf.DUMMYFUNCTION("""COMPUTED_VALUE"""),29.0)</f>
        <v>29</v>
      </c>
      <c r="G16" s="11" t="str">
        <f>IFERROR(__xludf.DUMMYFUNCTION("""COMPUTED_VALUE"""),"2 hooves +5")</f>
        <v>2 hooves +5</v>
      </c>
      <c r="H16" s="11" t="str">
        <f>IFERROR(__xludf.DUMMYFUNCTION("""COMPUTED_VALUE"""),"double near (fly)")</f>
        <v>double near (fly)</v>
      </c>
      <c r="I16" s="11">
        <f>IFERROR(__xludf.DUMMYFUNCTION("""COMPUTED_VALUE"""),3.0)</f>
        <v>3</v>
      </c>
      <c r="J16" s="11">
        <f>IFERROR(__xludf.DUMMYFUNCTION("""COMPUTED_VALUE"""),3.0)</f>
        <v>3</v>
      </c>
      <c r="K16" s="11">
        <f>IFERROR(__xludf.DUMMYFUNCTION("""COMPUTED_VALUE"""),2.0)</f>
        <v>2</v>
      </c>
      <c r="L16" s="11">
        <f>IFERROR(__xludf.DUMMYFUNCTION("""COMPUTED_VALUE"""),-1.0)</f>
        <v>-1</v>
      </c>
      <c r="M16" s="11">
        <f>IFERROR(__xludf.DUMMYFUNCTION("""COMPUTED_VALUE"""),1.0)</f>
        <v>1</v>
      </c>
      <c r="N16" s="11">
        <f>IFERROR(__xludf.DUMMYFUNCTION("""COMPUTED_VALUE"""),-2.0)</f>
        <v>-2</v>
      </c>
      <c r="O16" s="11" t="str">
        <f>IFERROR(__xludf.DUMMYFUNCTION("""COMPUTED_VALUE"""),"C")</f>
        <v>C</v>
      </c>
      <c r="P16" s="13">
        <f>IFERROR(__xludf.DUMMYFUNCTION("""COMPUTED_VALUE"""),6.0)</f>
        <v>6</v>
      </c>
      <c r="Q16" s="11" t="str">
        <f>IFERROR(__xludf.DUMMYFUNCTION("""COMPUTED_VALUE"""),"Impervious. Nightmare and its rider immune to fire.")</f>
        <v>Impervious. Nightmare and its rider immune to fire.</v>
      </c>
      <c r="R16" s="11"/>
      <c r="S16" s="11"/>
      <c r="T16" s="11"/>
      <c r="U16" s="11"/>
      <c r="V16" s="11"/>
      <c r="W16" s="11"/>
      <c r="X16" s="11"/>
      <c r="Y16" s="11"/>
      <c r="Z16" s="11"/>
      <c r="AA16" s="11"/>
      <c r="AB16" s="11"/>
    </row>
    <row r="17" ht="15.75" customHeight="1">
      <c r="A17" s="11" t="str">
        <f>IFERROR(__xludf.DUMMYFUNCTION("""COMPUTED_VALUE"""),"Ogre")</f>
        <v>Ogre</v>
      </c>
      <c r="B17" s="12">
        <f>IFERROR(__xludf.DUMMYFUNCTION("""COMPUTED_VALUE"""),2.0)</f>
        <v>2</v>
      </c>
      <c r="C17" s="11" t="str">
        <f>IFERROR(__xludf.DUMMYFUNCTION("""COMPUTED_VALUE"""),"CR")</f>
        <v>CR</v>
      </c>
      <c r="D17" s="11" t="str">
        <f>IFERROR(__xludf.DUMMYFUNCTION("""COMPUTED_VALUE"""),"A massive, dim-witted brute with tusks and a heavy frame. Often lords over goblins or orcs.")</f>
        <v>A massive, dim-witted brute with tusks and a heavy frame. Often lords over goblins or orcs.</v>
      </c>
      <c r="E17" s="11">
        <f>IFERROR(__xludf.DUMMYFUNCTION("""COMPUTED_VALUE"""),9.0)</f>
        <v>9</v>
      </c>
      <c r="F17" s="11" t="str">
        <f>IFERROR(__xludf.DUMMYFUNCTION("""COMPUTED_VALUE"""),"30")</f>
        <v>30</v>
      </c>
      <c r="G17" s="11" t="str">
        <f>IFERROR(__xludf.DUMMYFUNCTION("""COMPUTED_VALUE"""),"2 greatclub +6 (2d6)")</f>
        <v>2 greatclub +6 (2d6)</v>
      </c>
      <c r="H17" s="11" t="str">
        <f>IFERROR(__xludf.DUMMYFUNCTION("""COMPUTED_VALUE"""),"near")</f>
        <v>near</v>
      </c>
      <c r="I17" s="11" t="str">
        <f>IFERROR(__xludf.DUMMYFUNCTION("""COMPUTED_VALUE"""),"4")</f>
        <v>4</v>
      </c>
      <c r="J17" s="11">
        <f>IFERROR(__xludf.DUMMYFUNCTION("""COMPUTED_VALUE"""),-1.0)</f>
        <v>-1</v>
      </c>
      <c r="K17" s="11" t="str">
        <f>IFERROR(__xludf.DUMMYFUNCTION("""COMPUTED_VALUE"""),"3")</f>
        <v>3</v>
      </c>
      <c r="L17" s="11">
        <f>IFERROR(__xludf.DUMMYFUNCTION("""COMPUTED_VALUE"""),-2.0)</f>
        <v>-2</v>
      </c>
      <c r="M17" s="11">
        <f>IFERROR(__xludf.DUMMYFUNCTION("""COMPUTED_VALUE"""),-2.0)</f>
        <v>-2</v>
      </c>
      <c r="N17" s="11">
        <f>IFERROR(__xludf.DUMMYFUNCTION("""COMPUTED_VALUE"""),-2.0)</f>
        <v>-2</v>
      </c>
      <c r="O17" s="11" t="str">
        <f>IFERROR(__xludf.DUMMYFUNCTION("""COMPUTED_VALUE"""),"C")</f>
        <v>C</v>
      </c>
      <c r="P17" s="13">
        <f>IFERROR(__xludf.DUMMYFUNCTION("""COMPUTED_VALUE"""),6.0)</f>
        <v>6</v>
      </c>
      <c r="Q17" s="11"/>
      <c r="R17" s="11"/>
      <c r="S17" s="11"/>
      <c r="T17" s="11"/>
      <c r="U17" s="11"/>
      <c r="V17" s="11"/>
      <c r="W17" s="11"/>
      <c r="X17" s="11"/>
      <c r="Y17" s="11"/>
      <c r="Z17" s="11"/>
      <c r="AA17" s="11"/>
      <c r="AB17" s="11"/>
    </row>
    <row r="18" ht="15.75" customHeight="1">
      <c r="A18" s="11" t="str">
        <f>IFERROR(__xludf.DUMMYFUNCTION("""COMPUTED_VALUE"""),"Outsider, Primordial Slime")</f>
        <v>Outsider, Primordial Slime</v>
      </c>
      <c r="B18" s="12" t="str">
        <f>IFERROR(__xludf.DUMMYFUNCTION("""COMPUTED_VALUE"""),"")</f>
        <v/>
      </c>
      <c r="C18" s="11" t="str">
        <f>IFERROR(__xludf.DUMMYFUNCTION("""COMPUTED_VALUE"""),"CR")</f>
        <v>CR</v>
      </c>
      <c r="D18" s="11" t="str">
        <f>IFERROR(__xludf.DUMMYFUNCTION("""COMPUTED_VALUE"""),"A mass of clear ooze strobing with sick pulses of violet light.")</f>
        <v>A mass of clear ooze strobing with sick pulses of violet light.</v>
      </c>
      <c r="E18" s="11">
        <f>IFERROR(__xludf.DUMMYFUNCTION("""COMPUTED_VALUE"""),9.0)</f>
        <v>9</v>
      </c>
      <c r="F18" s="11">
        <f>IFERROR(__xludf.DUMMYFUNCTION("""COMPUTED_VALUE"""),30.0)</f>
        <v>30</v>
      </c>
      <c r="G18" s="11" t="str">
        <f>IFERROR(__xludf.DUMMYFUNCTION("""COMPUTED_VALUE"""),"2 tentacle +4 (1d10 + dissolve)")</f>
        <v>2 tentacle +4 (1d10 + dissolve)</v>
      </c>
      <c r="H18" s="11" t="str">
        <f>IFERROR(__xludf.DUMMYFUNCTION("""COMPUTED_VALUE"""),"near (climb)")</f>
        <v>near (climb)</v>
      </c>
      <c r="I18" s="11">
        <f>IFERROR(__xludf.DUMMYFUNCTION("""COMPUTED_VALUE"""),3.0)</f>
        <v>3</v>
      </c>
      <c r="J18" s="11">
        <f>IFERROR(__xludf.DUMMYFUNCTION("""COMPUTED_VALUE"""),2.0)</f>
        <v>2</v>
      </c>
      <c r="K18" s="11">
        <f>IFERROR(__xludf.DUMMYFUNCTION("""COMPUTED_VALUE"""),3.0)</f>
        <v>3</v>
      </c>
      <c r="L18" s="11">
        <f>IFERROR(__xludf.DUMMYFUNCTION("""COMPUTED_VALUE"""),-4.0)</f>
        <v>-4</v>
      </c>
      <c r="M18" s="11">
        <f>IFERROR(__xludf.DUMMYFUNCTION("""COMPUTED_VALUE"""),-3.0)</f>
        <v>-3</v>
      </c>
      <c r="N18" s="11">
        <f>IFERROR(__xludf.DUMMYFUNCTION("""COMPUTED_VALUE"""),-4.0)</f>
        <v>-4</v>
      </c>
      <c r="O18" s="11" t="str">
        <f>IFERROR(__xludf.DUMMYFUNCTION("""COMPUTED_VALUE"""),"C")</f>
        <v>C</v>
      </c>
      <c r="P18" s="13">
        <f>IFERROR(__xludf.DUMMYFUNCTION("""COMPUTED_VALUE"""),6.0)</f>
        <v>6</v>
      </c>
      <c r="Q18" s="11" t="str">
        <f>IFERROR(__xludf.DUMMYFUNCTION("""COMPUTED_VALUE"""),"Impervious. Only harmed by fire.")</f>
        <v>Impervious. Only harmed by fire.</v>
      </c>
      <c r="R18" s="11" t="str">
        <f>IFERROR(__xludf.DUMMYFUNCTION("""COMPUTED_VALUE"""),"Dissolve. One random piece of non-magical gear is destroyed")</f>
        <v>Dissolve. One random piece of non-magical gear is destroyed</v>
      </c>
      <c r="S18" s="11"/>
      <c r="T18" s="11"/>
      <c r="U18" s="11"/>
      <c r="V18" s="11"/>
      <c r="W18" s="11"/>
      <c r="X18" s="11"/>
      <c r="Y18" s="11"/>
      <c r="Z18" s="11"/>
      <c r="AA18" s="11"/>
      <c r="AB18" s="11"/>
    </row>
    <row r="19" ht="15.75" customHeight="1">
      <c r="A19" s="11" t="str">
        <f>IFERROR(__xludf.DUMMYFUNCTION("""COMPUTED_VALUE"""),"Owlbear")</f>
        <v>Owlbear</v>
      </c>
      <c r="B19" s="12">
        <f>IFERROR(__xludf.DUMMYFUNCTION("""COMPUTED_VALUE"""),3.0)</f>
        <v>3</v>
      </c>
      <c r="C19" s="11" t="str">
        <f>IFERROR(__xludf.DUMMYFUNCTION("""COMPUTED_VALUE"""),"CR")</f>
        <v>CR</v>
      </c>
      <c r="D19" s="11" t="str">
        <f>IFERROR(__xludf.DUMMYFUNCTION("""COMPUTED_VALUE"""),"Cantankerous bears with owl eyes, beaks, and feathers.")</f>
        <v>Cantankerous bears with owl eyes, beaks, and feathers.</v>
      </c>
      <c r="E19" s="11">
        <f>IFERROR(__xludf.DUMMYFUNCTION("""COMPUTED_VALUE"""),13.0)</f>
        <v>13</v>
      </c>
      <c r="F19" s="11">
        <f>IFERROR(__xludf.DUMMYFUNCTION("""COMPUTED_VALUE"""),30.0)</f>
        <v>30</v>
      </c>
      <c r="G19" s="11" t="str">
        <f>IFERROR(__xludf.DUMMYFUNCTION("""COMPUTED_VALUE"""),"2 claw +5 (1d10)")</f>
        <v>2 claw +5 (1d10)</v>
      </c>
      <c r="H19" s="11" t="str">
        <f>IFERROR(__xludf.DUMMYFUNCTION("""COMPUTED_VALUE"""),"near (climb) S +4")</f>
        <v>near (climb) S +4</v>
      </c>
      <c r="I19" s="11">
        <f>IFERROR(__xludf.DUMMYFUNCTION("""COMPUTED_VALUE"""),4.0)</f>
        <v>4</v>
      </c>
      <c r="J19" s="11">
        <f>IFERROR(__xludf.DUMMYFUNCTION("""COMPUTED_VALUE"""),1.0)</f>
        <v>1</v>
      </c>
      <c r="K19" s="11">
        <f>IFERROR(__xludf.DUMMYFUNCTION("""COMPUTED_VALUE"""),3.0)</f>
        <v>3</v>
      </c>
      <c r="L19" s="11">
        <f>IFERROR(__xludf.DUMMYFUNCTION("""COMPUTED_VALUE"""),-2.0)</f>
        <v>-2</v>
      </c>
      <c r="M19" s="11">
        <f>IFERROR(__xludf.DUMMYFUNCTION("""COMPUTED_VALUE"""),2.0)</f>
        <v>2</v>
      </c>
      <c r="N19" s="11">
        <f>IFERROR(__xludf.DUMMYFUNCTION("""COMPUTED_VALUE"""),-3.0)</f>
        <v>-3</v>
      </c>
      <c r="O19" s="11" t="str">
        <f>IFERROR(__xludf.DUMMYFUNCTION("""COMPUTED_VALUE"""),"N")</f>
        <v>N</v>
      </c>
      <c r="P19" s="13">
        <f>IFERROR(__xludf.DUMMYFUNCTION("""COMPUTED_VALUE"""),6.0)</f>
        <v>6</v>
      </c>
      <c r="Q19" s="11" t="str">
        <f>IFERROR(__xludf.DUMMYFUNCTION("""COMPUTED_VALUE"""),"Crush. Deals an extra die of damage if it hits the same target with both claws.")</f>
        <v>Crush. Deals an extra die of damage if it hits the same target with both claws.</v>
      </c>
      <c r="R19" s="11"/>
      <c r="S19" s="11"/>
      <c r="T19" s="11"/>
      <c r="U19" s="11"/>
      <c r="V19" s="11"/>
      <c r="W19" s="11"/>
      <c r="X19" s="11"/>
      <c r="Y19" s="11"/>
      <c r="Z19" s="11"/>
      <c r="AA19" s="11"/>
      <c r="AB19" s="11"/>
    </row>
    <row r="20" ht="15.75" customHeight="1">
      <c r="A20" s="11" t="str">
        <f>IFERROR(__xludf.DUMMYFUNCTION("""COMPUTED_VALUE"""),"Rat, Swarm")</f>
        <v>Rat, Swarm</v>
      </c>
      <c r="B20" s="12">
        <f>IFERROR(__xludf.DUMMYFUNCTION("""COMPUTED_VALUE"""),0.25)</f>
        <v>0.25</v>
      </c>
      <c r="C20" s="11" t="str">
        <f>IFERROR(__xludf.DUMMYFUNCTION("""COMPUTED_VALUE"""),"CR")</f>
        <v>CR</v>
      </c>
      <c r="D20" s="11" t="str">
        <f>IFERROR(__xludf.DUMMYFUNCTION("""COMPUTED_VALUE"""),"A screeching tidal wave of clawing and biting rats.")</f>
        <v>A screeching tidal wave of clawing and biting rats.</v>
      </c>
      <c r="E20" s="11">
        <f>IFERROR(__xludf.DUMMYFUNCTION("""COMPUTED_VALUE"""),10.0)</f>
        <v>10</v>
      </c>
      <c r="F20" s="11">
        <f>IFERROR(__xludf.DUMMYFUNCTION("""COMPUTED_VALUE"""),28.0)</f>
        <v>28</v>
      </c>
      <c r="G20" s="11" t="str">
        <f>IFERROR(__xludf.DUMMYFUNCTION("""COMPUTED_VALUE"""),"4 bite +0 (1 + disease)")</f>
        <v>4 bite +0 (1 + disease)</v>
      </c>
      <c r="H20" s="11" t="str">
        <f>IFERROR(__xludf.DUMMYFUNCTION("""COMPUTED_VALUE"""),"near")</f>
        <v>near</v>
      </c>
      <c r="I20" s="11">
        <f>IFERROR(__xludf.DUMMYFUNCTION("""COMPUTED_VALUE"""),-3.0)</f>
        <v>-3</v>
      </c>
      <c r="J20" s="11">
        <f>IFERROR(__xludf.DUMMYFUNCTION("""COMPUTED_VALUE"""),0.0)</f>
        <v>0</v>
      </c>
      <c r="K20" s="11">
        <f>IFERROR(__xludf.DUMMYFUNCTION("""COMPUTED_VALUE"""),1.0)</f>
        <v>1</v>
      </c>
      <c r="L20" s="11">
        <f>IFERROR(__xludf.DUMMYFUNCTION("""COMPUTED_VALUE"""),-3.0)</f>
        <v>-3</v>
      </c>
      <c r="M20" s="11">
        <f>IFERROR(__xludf.DUMMYFUNCTION("""COMPUTED_VALUE"""),1.0)</f>
        <v>1</v>
      </c>
      <c r="N20" s="11">
        <f>IFERROR(__xludf.DUMMYFUNCTION("""COMPUTED_VALUE"""),-3.0)</f>
        <v>-3</v>
      </c>
      <c r="O20" s="11" t="str">
        <f>IFERROR(__xludf.DUMMYFUNCTION("""COMPUTED_VALUE"""),"N")</f>
        <v>N</v>
      </c>
      <c r="P20" s="13">
        <f>IFERROR(__xludf.DUMMYFUNCTION("""COMPUTED_VALUE"""),6.0)</f>
        <v>6</v>
      </c>
      <c r="Q20" s="11" t="str">
        <f>IFERROR(__xludf.DUMMYFUNCTION("""COMPUTED_VALUE"""),"Disease. DC 9 CON or 1d4 CON damage (can't heal while ill). Repeat check once per day; ends on success. Die at 0 CON.")</f>
        <v>Disease. DC 9 CON or 1d4 CON damage (can't heal while ill). Repeat check once per day; ends on success. Die at 0 CON.</v>
      </c>
      <c r="R20" s="11"/>
      <c r="S20" s="11"/>
      <c r="T20" s="11"/>
      <c r="U20" s="11"/>
      <c r="V20" s="11"/>
      <c r="W20" s="11"/>
      <c r="X20" s="11"/>
      <c r="Y20" s="11"/>
      <c r="Z20" s="11"/>
      <c r="AA20" s="11"/>
      <c r="AB20" s="11"/>
    </row>
    <row r="21" ht="15.75" customHeight="1">
      <c r="A21" s="11" t="str">
        <f>IFERROR(__xludf.DUMMYFUNCTION("""COMPUTED_VALUE"""),"Reaver")</f>
        <v>Reaver</v>
      </c>
      <c r="B21" s="12" t="str">
        <f>IFERROR(__xludf.DUMMYFUNCTION("""COMPUTED_VALUE"""),"")</f>
        <v/>
      </c>
      <c r="C21" s="11" t="str">
        <f>IFERROR(__xludf.DUMMYFUNCTION("""COMPUTED_VALUE"""),"CR")</f>
        <v>CR</v>
      </c>
      <c r="D21" s="11" t="str">
        <f>IFERROR(__xludf.DUMMYFUNCTION("""COMPUTED_VALUE"""),"A knight in blackened armor riddled with cruel barbs.")</f>
        <v>A knight in blackened armor riddled with cruel barbs.</v>
      </c>
      <c r="E21" s="11" t="str">
        <f>IFERROR(__xludf.DUMMYFUNCTION("""COMPUTED_VALUE"""),"17 (plate mail + shield)")</f>
        <v>17 (plate mail + shield)</v>
      </c>
      <c r="F21" s="11">
        <f>IFERROR(__xludf.DUMMYFUNCTION("""COMPUTED_VALUE"""),28.0)</f>
        <v>28</v>
      </c>
      <c r="G21" s="11" t="str">
        <f>IFERROR(__xludf.DUMMYFUNCTION("""COMPUTED_VALUE"""),"3 bastard sword +4 (1d8 + 2)")</f>
        <v>3 bastard sword +4 (1d8 + 2)</v>
      </c>
      <c r="H21" s="11" t="str">
        <f>IFERROR(__xludf.DUMMYFUNCTION("""COMPUTED_VALUE"""),"near")</f>
        <v>near</v>
      </c>
      <c r="I21" s="11">
        <f>IFERROR(__xludf.DUMMYFUNCTION("""COMPUTED_VALUE"""),3.0)</f>
        <v>3</v>
      </c>
      <c r="J21" s="11">
        <f>IFERROR(__xludf.DUMMYFUNCTION("""COMPUTED_VALUE"""),0.0)</f>
        <v>0</v>
      </c>
      <c r="K21" s="11">
        <f>IFERROR(__xludf.DUMMYFUNCTION("""COMPUTED_VALUE"""),1.0)</f>
        <v>1</v>
      </c>
      <c r="L21" s="11">
        <f>IFERROR(__xludf.DUMMYFUNCTION("""COMPUTED_VALUE"""),0.0)</f>
        <v>0</v>
      </c>
      <c r="M21" s="11">
        <f>IFERROR(__xludf.DUMMYFUNCTION("""COMPUTED_VALUE"""),0.0)</f>
        <v>0</v>
      </c>
      <c r="N21" s="11">
        <f>IFERROR(__xludf.DUMMYFUNCTION("""COMPUTED_VALUE"""),2.0)</f>
        <v>2</v>
      </c>
      <c r="O21" s="11" t="str">
        <f>IFERROR(__xludf.DUMMYFUNCTION("""COMPUTED_VALUE"""),"C")</f>
        <v>C</v>
      </c>
      <c r="P21" s="13">
        <f>IFERROR(__xludf.DUMMYFUNCTION("""COMPUTED_VALUE"""),6.0)</f>
        <v>6</v>
      </c>
      <c r="Q21" s="11" t="str">
        <f>IFERROR(__xludf.DUMMYFUNCTION("""COMPUTED_VALUE"""),"Bloodlust. +2 damage with melee weapons (included).")</f>
        <v>Bloodlust. +2 damage with melee weapons (included).</v>
      </c>
      <c r="R21" s="11"/>
      <c r="S21" s="11"/>
      <c r="T21" s="11"/>
      <c r="U21" s="11"/>
      <c r="V21" s="11"/>
      <c r="W21" s="11"/>
      <c r="X21" s="11"/>
      <c r="Y21" s="11"/>
      <c r="Z21" s="11"/>
      <c r="AA21" s="11"/>
      <c r="AB21" s="11"/>
    </row>
    <row r="22" ht="15.75" customHeight="1">
      <c r="A22" s="11" t="str">
        <f>IFERROR(__xludf.DUMMYFUNCTION("""COMPUTED_VALUE"""),"Roper")</f>
        <v>Roper</v>
      </c>
      <c r="B22" s="12">
        <f>IFERROR(__xludf.DUMMYFUNCTION("""COMPUTED_VALUE"""),5.0)</f>
        <v>5</v>
      </c>
      <c r="C22" s="11" t="str">
        <f>IFERROR(__xludf.DUMMYFUNCTION("""COMPUTED_VALUE"""),"CR")</f>
        <v>CR</v>
      </c>
      <c r="D22" s="11" t="str">
        <f>IFERROR(__xludf.DUMMYFUNCTION("""COMPUTED_VALUE"""),"Ravenous monstrosities that look like cave rocks when their single eye and maw are closed.")</f>
        <v>Ravenous monstrosities that look like cave rocks when their single eye and maw are closed.</v>
      </c>
      <c r="E22" s="11">
        <f>IFERROR(__xludf.DUMMYFUNCTION("""COMPUTED_VALUE"""),14.0)</f>
        <v>14</v>
      </c>
      <c r="F22" s="11">
        <f>IFERROR(__xludf.DUMMYFUNCTION("""COMPUTED_VALUE"""),31.0)</f>
        <v>31</v>
      </c>
      <c r="G22" s="11" t="str">
        <f>IFERROR(__xludf.DUMMYFUNCTION("""COMPUTED_VALUE"""),"4 tendril (double near) +4 (1d6 + grab) and 1 bite +4 (2d8)")</f>
        <v>4 tendril (double near) +4 (1d6 + grab) and 1 bite +4 (2d8)</v>
      </c>
      <c r="H22" s="11" t="str">
        <f>IFERROR(__xludf.DUMMYFUNCTION("""COMPUTED_VALUE"""),"close (climb)")</f>
        <v>close (climb)</v>
      </c>
      <c r="I22" s="11">
        <f>IFERROR(__xludf.DUMMYFUNCTION("""COMPUTED_VALUE"""),3.0)</f>
        <v>3</v>
      </c>
      <c r="J22" s="11">
        <f>IFERROR(__xludf.DUMMYFUNCTION("""COMPUTED_VALUE"""),-2.0)</f>
        <v>-2</v>
      </c>
      <c r="K22" s="11">
        <f>IFERROR(__xludf.DUMMYFUNCTION("""COMPUTED_VALUE"""),4.0)</f>
        <v>4</v>
      </c>
      <c r="L22" s="11">
        <f>IFERROR(__xludf.DUMMYFUNCTION("""COMPUTED_VALUE"""),-1.0)</f>
        <v>-1</v>
      </c>
      <c r="M22" s="11">
        <f>IFERROR(__xludf.DUMMYFUNCTION("""COMPUTED_VALUE"""),2.0)</f>
        <v>2</v>
      </c>
      <c r="N22" s="11">
        <f>IFERROR(__xludf.DUMMYFUNCTION("""COMPUTED_VALUE"""),1.0)</f>
        <v>1</v>
      </c>
      <c r="O22" s="11" t="str">
        <f>IFERROR(__xludf.DUMMYFUNCTION("""COMPUTED_VALUE"""),"N")</f>
        <v>N</v>
      </c>
      <c r="P22" s="13">
        <f>IFERROR(__xludf.DUMMYFUNCTION("""COMPUTED_VALUE"""),6.0)</f>
        <v>6</v>
      </c>
      <c r="Q22" s="11" t="str">
        <f>IFERROR(__xludf.DUMMYFUNCTION("""COMPUTED_VALUE"""),"Impervious. Can only be damaged by magical sources.")</f>
        <v>Impervious. Can only be damaged by magical sources.</v>
      </c>
      <c r="R22" s="11" t="str">
        <f>IFERROR(__xludf.DUMMYFUNCTION("""COMPUTED_VALUE"""),"Grab. DC 15 STR or target trapped in tendril. Tendril autohits target next round. DC 15 STR on turn to break free.")</f>
        <v>Grab. DC 15 STR or target trapped in tendril. Tendril autohits target next round. DC 15 STR on turn to break free.</v>
      </c>
      <c r="S22" s="11" t="str">
        <f>IFERROR(__xludf.DUMMYFUNCTION("""COMPUTED_VALUE"""),"Pull. In place of a tendril attack, pull a grabbed target a near distance.")</f>
        <v>Pull. In place of a tendril attack, pull a grabbed target a near distance.</v>
      </c>
      <c r="T22" s="11" t="str">
        <f>IFERROR(__xludf.DUMMYFUNCTION("""COMPUTED_VALUE"""),"Tendrils. Four total. AC 18 each. 4+ damage to one severs it.")</f>
        <v>Tendrils. Four total. AC 18 each. 4+ damage to one severs it.</v>
      </c>
      <c r="U22" s="11"/>
      <c r="V22" s="11"/>
      <c r="W22" s="11"/>
      <c r="X22" s="11"/>
      <c r="Y22" s="11"/>
      <c r="Z22" s="11"/>
      <c r="AA22" s="11"/>
      <c r="AB22" s="11"/>
    </row>
    <row r="23" ht="15.75" customHeight="1">
      <c r="A23" s="11" t="str">
        <f>IFERROR(__xludf.DUMMYFUNCTION("""COMPUTED_VALUE"""),"Viperian, Ophid")</f>
        <v>Viperian, Ophid</v>
      </c>
      <c r="B23" s="12" t="str">
        <f>IFERROR(__xludf.DUMMYFUNCTION("""COMPUTED_VALUE"""),"")</f>
        <v/>
      </c>
      <c r="C23" s="11" t="str">
        <f>IFERROR(__xludf.DUMMYFUNCTION("""COMPUTED_VALUE"""),"CR")</f>
        <v>CR</v>
      </c>
      <c r="D23" s="11" t="str">
        <f>IFERROR(__xludf.DUMMYFUNCTION("""COMPUTED_VALUE"""),"A giant anaconda body merges into a humanoid torso with a large snake head. It wears golden torcs and strings of glittering moonstones.")</f>
        <v>A giant anaconda body merges into a humanoid torso with a large snake head. It wears golden torcs and strings of glittering moonstones.</v>
      </c>
      <c r="E23" s="11">
        <f>IFERROR(__xludf.DUMMYFUNCTION("""COMPUTED_VALUE"""),14.0)</f>
        <v>14</v>
      </c>
      <c r="F23" s="11">
        <f>IFERROR(__xludf.DUMMYFUNCTION("""COMPUTED_VALUE"""),28.0)</f>
        <v>28</v>
      </c>
      <c r="G23" s="11" t="str">
        <f>IFERROR(__xludf.DUMMYFUNCTION("""COMPUTED_VALUE"""),"3 falchion +5 (1d10) or 2 longbow (far) +3 (1d8)")</f>
        <v>3 falchion +5 (1d10) or 2 longbow (far) +3 (1d8)</v>
      </c>
      <c r="H23" s="11" t="str">
        <f>IFERROR(__xludf.DUMMYFUNCTION("""COMPUTED_VALUE"""),"near (climb)")</f>
        <v>near (climb)</v>
      </c>
      <c r="I23" s="11">
        <f>IFERROR(__xludf.DUMMYFUNCTION("""COMPUTED_VALUE"""),4.0)</f>
        <v>4</v>
      </c>
      <c r="J23" s="11">
        <f>IFERROR(__xludf.DUMMYFUNCTION("""COMPUTED_VALUE"""),2.0)</f>
        <v>2</v>
      </c>
      <c r="K23" s="11">
        <f>IFERROR(__xludf.DUMMYFUNCTION("""COMPUTED_VALUE"""),1.0)</f>
        <v>1</v>
      </c>
      <c r="L23" s="11">
        <f>IFERROR(__xludf.DUMMYFUNCTION("""COMPUTED_VALUE"""),1.0)</f>
        <v>1</v>
      </c>
      <c r="M23" s="11">
        <f>IFERROR(__xludf.DUMMYFUNCTION("""COMPUTED_VALUE"""),1.0)</f>
        <v>1</v>
      </c>
      <c r="N23" s="11">
        <f>IFERROR(__xludf.DUMMYFUNCTION("""COMPUTED_VALUE"""),1.0)</f>
        <v>1</v>
      </c>
      <c r="O23" s="11" t="str">
        <f>IFERROR(__xludf.DUMMYFUNCTION("""COMPUTED_VALUE"""),"C")</f>
        <v>C</v>
      </c>
      <c r="P23" s="13">
        <f>IFERROR(__xludf.DUMMYFUNCTION("""COMPUTED_VALUE"""),6.0)</f>
        <v>6</v>
      </c>
      <c r="Q23" s="11" t="str">
        <f>IFERROR(__xludf.DUMMYFUNCTION("""COMPUTED_VALUE"""),"Impervious. Can only be harmed by magical sources.")</f>
        <v>Impervious. Can only be harmed by magical sources.</v>
      </c>
      <c r="R23" s="11"/>
      <c r="S23" s="11"/>
      <c r="T23" s="11"/>
      <c r="U23" s="11"/>
      <c r="V23" s="11"/>
      <c r="W23" s="11"/>
      <c r="X23" s="11"/>
      <c r="Y23" s="11"/>
      <c r="Z23" s="11"/>
      <c r="AA23" s="11"/>
      <c r="AB23" s="11"/>
    </row>
  </sheetData>
  <customSheetViews>
    <customSheetView guid="{7904D927-A127-473C-8B57-4EE1C7E3FAE9}" filter="1" showAutoFilter="1">
      <autoFilter ref="$A$1:$AB$23">
        <filterColumn colId="2">
          <filters/>
        </filterColumn>
      </autoFilter>
    </customSheetView>
    <customSheetView guid="{7B4FF760-C879-4C05-8F10-45D59B7E7C3E}" filter="1" showAutoFilter="1">
      <autoFilter ref="$A$1:$AB$23">
        <filterColumn colId="2">
          <filters/>
        </filterColumn>
      </autoFilter>
    </customSheetView>
    <customSheetView guid="{51DCF084-7C01-403C-9896-1E7742DCA6B3}" filter="1" showAutoFilter="1">
      <autoFilter ref="$A$1:$AB$23"/>
    </customSheetView>
    <customSheetView guid="{4FEF9F0C-4236-4853-B093-88FE2289FD26}" filter="1" showAutoFilter="1">
      <autoFilter ref="$A$1:$AB$23">
        <filterColumn colId="2">
          <filters>
            <filter val="CR"/>
          </filters>
        </filterColumn>
      </autoFilter>
    </customSheetView>
    <customSheetView guid="{5CDEC3B1-201F-4BAD-941F-A80E62A04015}" filter="1" showAutoFilter="1">
      <autoFilter ref="$A$1:$AB$23">
        <filterColumn colId="2">
          <filters/>
        </filterColumn>
      </autoFilter>
    </customSheetView>
    <customSheetView guid="{6B2E9E35-D6A1-4749-95F2-2658A691119A}" filter="1" showAutoFilter="1">
      <autoFilter ref="$A$1:$AB$23">
        <filterColumn colId="2">
          <filters/>
        </filterColumn>
      </autoFilter>
    </customSheetView>
  </customSheetView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IFERROR(__xludf.DUMMYFUNCTION("FILTER(All!A5:Z14, All!P5:P14 = 7)
"),"Bear, Polar")</f>
        <v>Bear, Polar</v>
      </c>
      <c r="B2" s="12">
        <f>IFERROR(__xludf.DUMMYFUNCTION("""COMPUTED_VALUE"""),2.0)</f>
        <v>2</v>
      </c>
      <c r="C2" s="11" t="str">
        <f>IFERROR(__xludf.DUMMYFUNCTION("""COMPUTED_VALUE"""),"CR")</f>
        <v>CR</v>
      </c>
      <c r="D2" s="11" t="str">
        <f>IFERROR(__xludf.DUMMYFUNCTION("""COMPUTED_VALUE"""),"A mighty, white bear that thrives in arctic environments.")</f>
        <v>A mighty, white bear that thrives in arctic environments.</v>
      </c>
      <c r="E2" s="11">
        <f>IFERROR(__xludf.DUMMYFUNCTION("""COMPUTED_VALUE"""),13.0)</f>
        <v>13</v>
      </c>
      <c r="F2" s="11">
        <f>IFERROR(__xludf.DUMMYFUNCTION("""COMPUTED_VALUE"""),34.0)</f>
        <v>34</v>
      </c>
      <c r="G2" s="11" t="str">
        <f>IFERROR(__xludf.DUMMYFUNCTION("""COMPUTED_VALUE"""),"2 claw +6 (2d6)")</f>
        <v>2 claw +6 (2d6)</v>
      </c>
      <c r="H2" s="11" t="str">
        <f>IFERROR(__xludf.DUMMYFUNCTION("""COMPUTED_VALUE"""),"near (climb)")</f>
        <v>near (climb)</v>
      </c>
      <c r="I2" s="11">
        <f>IFERROR(__xludf.DUMMYFUNCTION("""COMPUTED_VALUE"""),4.0)</f>
        <v>4</v>
      </c>
      <c r="J2" s="11">
        <f>IFERROR(__xludf.DUMMYFUNCTION("""COMPUTED_VALUE"""),1.0)</f>
        <v>1</v>
      </c>
      <c r="K2" s="11">
        <f>IFERROR(__xludf.DUMMYFUNCTION("""COMPUTED_VALUE"""),3.0)</f>
        <v>3</v>
      </c>
      <c r="L2" s="11">
        <f>IFERROR(__xludf.DUMMYFUNCTION("""COMPUTED_VALUE"""),-2.0)</f>
        <v>-2</v>
      </c>
      <c r="M2" s="11">
        <f>IFERROR(__xludf.DUMMYFUNCTION("""COMPUTED_VALUE"""),1.0)</f>
        <v>1</v>
      </c>
      <c r="N2" s="11">
        <f>IFERROR(__xludf.DUMMYFUNCTION("""COMPUTED_VALUE"""),-2.0)</f>
        <v>-2</v>
      </c>
      <c r="O2" s="11" t="str">
        <f>IFERROR(__xludf.DUMMYFUNCTION("""COMPUTED_VALUE"""),"N")</f>
        <v>N</v>
      </c>
      <c r="P2" s="13">
        <f>IFERROR(__xludf.DUMMYFUNCTION("""COMPUTED_VALUE"""),7.0)</f>
        <v>7</v>
      </c>
      <c r="Q2" s="11" t="str">
        <f>IFERROR(__xludf.DUMMYFUNCTION("""COMPUTED_VALUE"""),"Crush. Deals an extra die of damage if it hits the same target with both claws.")</f>
        <v>Crush. Deals an extra die of damage if it hits the same target with both claws.</v>
      </c>
      <c r="R2" s="11" t="str">
        <f>IFERROR(__xludf.DUMMYFUNCTION("""COMPUTED_VALUE"""),"Thick Fur. Cold immune.")</f>
        <v>Thick Fur. Cold immune.</v>
      </c>
      <c r="S2" s="11"/>
      <c r="T2" s="11"/>
      <c r="U2" s="11"/>
      <c r="V2" s="11"/>
      <c r="W2" s="11"/>
      <c r="X2" s="11"/>
      <c r="Y2" s="11"/>
      <c r="Z2" s="11"/>
      <c r="AA2" s="11"/>
      <c r="AB2" s="11"/>
    </row>
    <row r="3" ht="15.75" customHeight="1">
      <c r="A3" s="11" t="str">
        <f>IFERROR(__xludf.DUMMYFUNCTION("""COMPUTED_VALUE"""),"Devil, Horned")</f>
        <v>Devil, Horned</v>
      </c>
      <c r="B3" s="12">
        <f>IFERROR(__xludf.DUMMYFUNCTION("""COMPUTED_VALUE"""),11.0)</f>
        <v>11</v>
      </c>
      <c r="C3" s="11" t="str">
        <f>IFERROR(__xludf.DUMMYFUNCTION("""COMPUTED_VALUE"""),"CR")</f>
        <v>CR</v>
      </c>
      <c r="D3" s="11" t="str">
        <f>IFERROR(__xludf.DUMMYFUNCTION("""COMPUTED_VALUE"""),"Iron-scaled hellions as big as ogres with weighty ram horns, lashing tails, and leathery wings. They are opportunistic and craven in battle.")</f>
        <v>Iron-scaled hellions as big as ogres with weighty ram horns, lashing tails, and leathery wings. They are opportunistic and craven in battle.</v>
      </c>
      <c r="E3" s="11">
        <f>IFERROR(__xludf.DUMMYFUNCTION("""COMPUTED_VALUE"""),16.0)</f>
        <v>16</v>
      </c>
      <c r="F3" s="11">
        <f>IFERROR(__xludf.DUMMYFUNCTION("""COMPUTED_VALUE"""),35.0)</f>
        <v>35</v>
      </c>
      <c r="G3" s="11" t="str">
        <f>IFERROR(__xludf.DUMMYFUNCTION("""COMPUTED_VALUE"""),"2 burning trident (near) +7 (2d6) or 1 fire blast (far) +4 (2d8)")</f>
        <v>2 burning trident (near) +7 (2d6) or 1 fire blast (far) +4 (2d8)</v>
      </c>
      <c r="H3" s="11" t="str">
        <f>IFERROR(__xludf.DUMMYFUNCTION("""COMPUTED_VALUE"""),"double near (fly)")</f>
        <v>double near (fly)</v>
      </c>
      <c r="I3" s="11">
        <f>IFERROR(__xludf.DUMMYFUNCTION("""COMPUTED_VALUE"""),5.0)</f>
        <v>5</v>
      </c>
      <c r="J3" s="11">
        <f>IFERROR(__xludf.DUMMYFUNCTION("""COMPUTED_VALUE"""),2.0)</f>
        <v>2</v>
      </c>
      <c r="K3" s="11">
        <f>IFERROR(__xludf.DUMMYFUNCTION("""COMPUTED_VALUE"""),4.0)</f>
        <v>4</v>
      </c>
      <c r="L3" s="11">
        <f>IFERROR(__xludf.DUMMYFUNCTION("""COMPUTED_VALUE"""),2.0)</f>
        <v>2</v>
      </c>
      <c r="M3" s="11">
        <f>IFERROR(__xludf.DUMMYFUNCTION("""COMPUTED_VALUE"""),1.0)</f>
        <v>1</v>
      </c>
      <c r="N3" s="11">
        <f>IFERROR(__xludf.DUMMYFUNCTION("""COMPUTED_VALUE"""),2.0)</f>
        <v>2</v>
      </c>
      <c r="O3" s="11" t="str">
        <f>IFERROR(__xludf.DUMMYFUNCTION("""COMPUTED_VALUE"""),"C")</f>
        <v>C</v>
      </c>
      <c r="P3" s="13">
        <f>IFERROR(__xludf.DUMMYFUNCTION("""COMPUTED_VALUE"""),7.0)</f>
        <v>7</v>
      </c>
      <c r="Q3" s="11" t="str">
        <f>IFERROR(__xludf.DUMMYFUNCTION("""COMPUTED_VALUE"""),"Iron Hide. Half damage from non-magical weapons.")</f>
        <v>Iron Hide. Half damage from non-magical weapons.</v>
      </c>
      <c r="R3" s="11"/>
      <c r="S3" s="11"/>
      <c r="T3" s="11"/>
      <c r="U3" s="11"/>
      <c r="V3" s="11"/>
      <c r="W3" s="11"/>
      <c r="X3" s="11"/>
      <c r="Y3" s="11"/>
      <c r="Z3" s="11"/>
      <c r="AA3" s="11"/>
      <c r="AB3" s="11"/>
    </row>
    <row r="4" ht="15.75" customHeight="1">
      <c r="A4" s="11" t="str">
        <f>IFERROR(__xludf.DUMMYFUNCTION("""COMPUTED_VALUE"""),"Dinosaur, Triceratops")</f>
        <v>Dinosaur, Triceratops</v>
      </c>
      <c r="B4" s="12">
        <f>IFERROR(__xludf.DUMMYFUNCTION("""COMPUTED_VALUE"""),5.0)</f>
        <v>5</v>
      </c>
      <c r="C4" s="11" t="str">
        <f>IFERROR(__xludf.DUMMYFUNCTION("""COMPUTED_VALUE"""),"CR")</f>
        <v>CR</v>
      </c>
      <c r="D4" s="11" t="str">
        <f>IFERROR(__xludf.DUMMYFUNCTION("""COMPUTED_VALUE"""),"Plodding herbivores with a wide, bony skull frill and three horns.")</f>
        <v>Plodding herbivores with a wide, bony skull frill and three horns.</v>
      </c>
      <c r="E4" s="11">
        <f>IFERROR(__xludf.DUMMYFUNCTION("""COMPUTED_VALUE"""),17.0)</f>
        <v>17</v>
      </c>
      <c r="F4" s="11">
        <f>IFERROR(__xludf.DUMMYFUNCTION("""COMPUTED_VALUE"""),35.0)</f>
        <v>35</v>
      </c>
      <c r="G4" s="11" t="str">
        <f>IFERROR(__xludf.DUMMYFUNCTION("""COMPUTED_VALUE"""),"2 horns +6 (1d10) or 1 charge")</f>
        <v>2 horns +6 (1d10) or 1 charge</v>
      </c>
      <c r="H4" s="11" t="str">
        <f>IFERROR(__xludf.DUMMYFUNCTION("""COMPUTED_VALUE"""),"near")</f>
        <v>near</v>
      </c>
      <c r="I4" s="11">
        <f>IFERROR(__xludf.DUMMYFUNCTION("""COMPUTED_VALUE"""),4.0)</f>
        <v>4</v>
      </c>
      <c r="J4" s="11">
        <f>IFERROR(__xludf.DUMMYFUNCTION("""COMPUTED_VALUE"""),-1.0)</f>
        <v>-1</v>
      </c>
      <c r="K4" s="11">
        <f>IFERROR(__xludf.DUMMYFUNCTION("""COMPUTED_VALUE"""),4.0)</f>
        <v>4</v>
      </c>
      <c r="L4" s="11">
        <f>IFERROR(__xludf.DUMMYFUNCTION("""COMPUTED_VALUE"""),-3.0)</f>
        <v>-3</v>
      </c>
      <c r="M4" s="11">
        <f>IFERROR(__xludf.DUMMYFUNCTION("""COMPUTED_VALUE"""),1.0)</f>
        <v>1</v>
      </c>
      <c r="N4" s="11">
        <f>IFERROR(__xludf.DUMMYFUNCTION("""COMPUTED_VALUE"""),-3.0)</f>
        <v>-3</v>
      </c>
      <c r="O4" s="11" t="str">
        <f>IFERROR(__xludf.DUMMYFUNCTION("""COMPUTED_VALUE"""),"N")</f>
        <v>N</v>
      </c>
      <c r="P4" s="13">
        <f>IFERROR(__xludf.DUMMYFUNCTION("""COMPUTED_VALUE"""),7.0)</f>
        <v>7</v>
      </c>
      <c r="Q4" s="11" t="str">
        <f>IFERROR(__xludf.DUMMYFUNCTION("""COMPUTED_VALUE"""),"Charge. Move up to double near in straight line and make 1 horn attack. If hit, x3 damage.")</f>
        <v>Charge. Move up to double near in straight line and make 1 horn attack. If hit, x3 damage.</v>
      </c>
      <c r="R4" s="11"/>
      <c r="S4" s="11"/>
      <c r="T4" s="11"/>
      <c r="U4" s="11"/>
      <c r="V4" s="11"/>
      <c r="W4" s="11"/>
      <c r="X4" s="11"/>
      <c r="Y4" s="11"/>
      <c r="Z4" s="11"/>
      <c r="AA4" s="11"/>
      <c r="AB4" s="11"/>
    </row>
    <row r="5" ht="15.75" customHeight="1">
      <c r="A5" s="11" t="str">
        <f>IFERROR(__xludf.DUMMYFUNCTION("""COMPUTED_VALUE"""),"Druid")</f>
        <v>Druid</v>
      </c>
      <c r="B5" s="12">
        <f>IFERROR(__xludf.DUMMYFUNCTION("""COMPUTED_VALUE"""),2.0)</f>
        <v>2</v>
      </c>
      <c r="C5" s="11" t="str">
        <f>IFERROR(__xludf.DUMMYFUNCTION("""COMPUTED_VALUE"""),"CR")</f>
        <v>CR</v>
      </c>
      <c r="D5" s="11" t="str">
        <f>IFERROR(__xludf.DUMMYFUNCTION("""COMPUTED_VALUE"""),"A wizard of the wilds holding a knotted staff and wearing a mossy cloak of deep viridian.")</f>
        <v>A wizard of the wilds holding a knotted staff and wearing a mossy cloak of deep viridian.</v>
      </c>
      <c r="E5" s="11">
        <f>IFERROR(__xludf.DUMMYFUNCTION("""COMPUTED_VALUE"""),11.0)</f>
        <v>11</v>
      </c>
      <c r="F5" s="11">
        <f>IFERROR(__xludf.DUMMYFUNCTION("""COMPUTED_VALUE"""),31.0)</f>
        <v>31</v>
      </c>
      <c r="G5" s="11" t="str">
        <f>IFERROR(__xludf.DUMMYFUNCTION("""COMPUTED_VALUE"""),"1 staff +0 (1d4) or 2 spell +5")</f>
        <v>1 staff +0 (1d4) or 2 spell +5</v>
      </c>
      <c r="H5" s="11" t="str">
        <f>IFERROR(__xludf.DUMMYFUNCTION("""COMPUTED_VALUE"""),"near")</f>
        <v>near</v>
      </c>
      <c r="I5" s="11">
        <f>IFERROR(__xludf.DUMMYFUNCTION("""COMPUTED_VALUE"""),0.0)</f>
        <v>0</v>
      </c>
      <c r="J5" s="11">
        <f>IFERROR(__xludf.DUMMYFUNCTION("""COMPUTED_VALUE"""),1.0)</f>
        <v>1</v>
      </c>
      <c r="K5" s="11">
        <f>IFERROR(__xludf.DUMMYFUNCTION("""COMPUTED_VALUE"""),0.0)</f>
        <v>0</v>
      </c>
      <c r="L5" s="11">
        <f>IFERROR(__xludf.DUMMYFUNCTION("""COMPUTED_VALUE"""),4.0)</f>
        <v>4</v>
      </c>
      <c r="M5" s="11">
        <f>IFERROR(__xludf.DUMMYFUNCTION("""COMPUTED_VALUE"""),3.0)</f>
        <v>3</v>
      </c>
      <c r="N5" s="11">
        <f>IFERROR(__xludf.DUMMYFUNCTION("""COMPUTED_VALUE"""),0.0)</f>
        <v>0</v>
      </c>
      <c r="O5" s="11" t="str">
        <f>IFERROR(__xludf.DUMMYFUNCTION("""COMPUTED_VALUE"""),"N")</f>
        <v>N</v>
      </c>
      <c r="P5" s="13">
        <f>IFERROR(__xludf.DUMMYFUNCTION("""COMPUTED_VALUE"""),7.0)</f>
        <v>7</v>
      </c>
      <c r="Q5" s="11" t="str">
        <f>IFERROR(__xludf.DUMMYFUNCTION("""COMPUTED_VALUE"""),"Barkskin (INT Spell). Self. DC 13. AC becomes 15 for 5 rounds.")</f>
        <v>Barkskin (INT Spell). Self. DC 13. AC becomes 15 for 5 rounds.</v>
      </c>
      <c r="R5" s="11" t="str">
        <f>IFERROR(__xludf.DUMMYFUNCTION("""COMPUTED_VALUE"""),"Conjure Flames (INT Spell). DC 12. One target in far takes 2d6 damage.")</f>
        <v>Conjure Flames (INT Spell). DC 12. One target in far takes 2d6 damage.</v>
      </c>
      <c r="S5" s="11" t="str">
        <f>IFERROR(__xludf.DUMMYFUNCTION("""COMPUTED_VALUE"""),"Imbue (INT Spell). Self. DC 13. Staff becomes a +3 magic weapon for 10 rounds.")</f>
        <v>Imbue (INT Spell). Self. DC 13. Staff becomes a +3 magic weapon for 10 rounds.</v>
      </c>
      <c r="T5" s="11" t="str">
        <f>IFERROR(__xludf.DUMMYFUNCTION("""COMPUTED_VALUE"""),"Summon Bear (INT Spell). DC 14. Summon a loyal brown bear that appears within near. It stays for 5 rounds.")</f>
        <v>Summon Bear (INT Spell). DC 14. Summon a loyal brown bear that appears within near. It stays for 5 rounds.</v>
      </c>
      <c r="U5" s="11" t="str">
        <f>IFERROR(__xludf.DUMMYFUNCTION("""COMPUTED_VALUE"""),"Thunderclap (INT Spell). DC 13. Fills a near-sized cube extending from druid. Creatures within are thrown 2d20 feet in a random direction.")</f>
        <v>Thunderclap (INT Spell). DC 13. Fills a near-sized cube extending from druid. Creatures within are thrown 2d20 feet in a random direction.</v>
      </c>
      <c r="V5" s="11"/>
      <c r="W5" s="11"/>
      <c r="X5" s="11"/>
      <c r="Y5" s="11"/>
      <c r="Z5" s="11"/>
      <c r="AA5" s="11"/>
      <c r="AB5" s="11"/>
    </row>
    <row r="6" ht="15.75" customHeight="1">
      <c r="A6" s="11" t="str">
        <f>IFERROR(__xludf.DUMMYFUNCTION("""COMPUTED_VALUE"""),"Elephant")</f>
        <v>Elephant</v>
      </c>
      <c r="B6" s="12">
        <f>IFERROR(__xludf.DUMMYFUNCTION("""COMPUTED_VALUE"""),4.0)</f>
        <v>4</v>
      </c>
      <c r="C6" s="11" t="str">
        <f>IFERROR(__xludf.DUMMYFUNCTION("""COMPUTED_VALUE"""),"CR")</f>
        <v>CR</v>
      </c>
      <c r="D6" s="11" t="str">
        <f>IFERROR(__xludf.DUMMYFUNCTION("""COMPUTED_VALUE"""),"Mighty mammals with tough hide, flappy ears, and a trunk.")</f>
        <v>Mighty mammals with tough hide, flappy ears, and a trunk.</v>
      </c>
      <c r="E6" s="11">
        <f>IFERROR(__xludf.DUMMYFUNCTION("""COMPUTED_VALUE"""),14.0)</f>
        <v>14</v>
      </c>
      <c r="F6" s="11">
        <f>IFERROR(__xludf.DUMMYFUNCTION("""COMPUTED_VALUE"""),34.0)</f>
        <v>34</v>
      </c>
      <c r="G6" s="11" t="str">
        <f>IFERROR(__xludf.DUMMYFUNCTION("""COMPUTED_VALUE"""),"2 tusks +6 (1d8)")</f>
        <v>2 tusks +6 (1d8)</v>
      </c>
      <c r="H6" s="11" t="str">
        <f>IFERROR(__xludf.DUMMYFUNCTION("""COMPUTED_VALUE"""),"near")</f>
        <v>near</v>
      </c>
      <c r="I6" s="11">
        <f>IFERROR(__xludf.DUMMYFUNCTION("""COMPUTED_VALUE"""),5.0)</f>
        <v>5</v>
      </c>
      <c r="J6" s="11">
        <f>IFERROR(__xludf.DUMMYFUNCTION("""COMPUTED_VALUE"""),0.0)</f>
        <v>0</v>
      </c>
      <c r="K6" s="11">
        <f>IFERROR(__xludf.DUMMYFUNCTION("""COMPUTED_VALUE"""),3.0)</f>
        <v>3</v>
      </c>
      <c r="L6" s="11">
        <f>IFERROR(__xludf.DUMMYFUNCTION("""COMPUTED_VALUE"""),-2.0)</f>
        <v>-2</v>
      </c>
      <c r="M6" s="11">
        <f>IFERROR(__xludf.DUMMYFUNCTION("""COMPUTED_VALUE"""),1.0)</f>
        <v>1</v>
      </c>
      <c r="N6" s="11">
        <f>IFERROR(__xludf.DUMMYFUNCTION("""COMPUTED_VALUE"""),0.0)</f>
        <v>0</v>
      </c>
      <c r="O6" s="11" t="str">
        <f>IFERROR(__xludf.DUMMYFUNCTION("""COMPUTED_VALUE"""),"N")</f>
        <v>N</v>
      </c>
      <c r="P6" s="13">
        <f>IFERROR(__xludf.DUMMYFUNCTION("""COMPUTED_VALUE"""),7.0)</f>
        <v>7</v>
      </c>
      <c r="Q6" s="11" t="str">
        <f>IFERROR(__xludf.DUMMYFUNCTION("""COMPUTED_VALUE"""),"Charge. Move up to double near in straight line and make 1 tusks attack. If hit, x3 damage.")</f>
        <v>Charge. Move up to double near in straight line and make 1 tusks attack. If hit, x3 damage.</v>
      </c>
      <c r="R6" s="11"/>
      <c r="S6" s="11"/>
      <c r="T6" s="11"/>
      <c r="U6" s="11"/>
      <c r="V6" s="11"/>
      <c r="W6" s="11"/>
      <c r="X6" s="11"/>
      <c r="Y6" s="11"/>
      <c r="Z6" s="11"/>
      <c r="AA6" s="11"/>
      <c r="AB6" s="11"/>
    </row>
    <row r="7" ht="15.75" customHeight="1">
      <c r="A7" s="11" t="str">
        <f>IFERROR(__xludf.DUMMYFUNCTION("""COMPUTED_VALUE"""),"Giant, Hill")</f>
        <v>Giant, Hill</v>
      </c>
      <c r="B7" s="12">
        <f>IFERROR(__xludf.DUMMYFUNCTION("""COMPUTED_VALUE"""),5.0)</f>
        <v>5</v>
      </c>
      <c r="C7" s="11" t="str">
        <f>IFERROR(__xludf.DUMMYFUNCTION("""COMPUTED_VALUE"""),"CR")</f>
        <v>CR</v>
      </c>
      <c r="D7" s="11" t="str">
        <f>IFERROR(__xludf.DUMMYFUNCTION("""COMPUTED_VALUE"""),"Fleshy hulks with leathery skin and broad, sloping foreheads. Cruel, boorish, and dim-witted.")</f>
        <v>Fleshy hulks with leathery skin and broad, sloping foreheads. Cruel, boorish, and dim-witted.</v>
      </c>
      <c r="E7" s="11">
        <f>IFERROR(__xludf.DUMMYFUNCTION("""COMPUTED_VALUE"""),11.0)</f>
        <v>11</v>
      </c>
      <c r="F7" s="11">
        <f>IFERROR(__xludf.DUMMYFUNCTION("""COMPUTED_VALUE"""),34.0)</f>
        <v>34</v>
      </c>
      <c r="G7" s="11" t="str">
        <f>IFERROR(__xludf.DUMMYFUNCTION("""COMPUTED_VALUE"""),"2 greatclub +6 (2d8) or 1 boulder (far) +6 (2d10)")</f>
        <v>2 greatclub +6 (2d8) or 1 boulder (far) +6 (2d10)</v>
      </c>
      <c r="H7" s="11" t="str">
        <f>IFERROR(__xludf.DUMMYFUNCTION("""COMPUTED_VALUE"""),"double near")</f>
        <v>double near</v>
      </c>
      <c r="I7" s="11">
        <f>IFERROR(__xludf.DUMMYFUNCTION("""COMPUTED_VALUE"""),4.0)</f>
        <v>4</v>
      </c>
      <c r="J7" s="11">
        <f>IFERROR(__xludf.DUMMYFUNCTION("""COMPUTED_VALUE"""),0.0)</f>
        <v>0</v>
      </c>
      <c r="K7" s="11">
        <f>IFERROR(__xludf.DUMMYFUNCTION("""COMPUTED_VALUE"""),3.0)</f>
        <v>3</v>
      </c>
      <c r="L7" s="11">
        <f>IFERROR(__xludf.DUMMYFUNCTION("""COMPUTED_VALUE"""),-2.0)</f>
        <v>-2</v>
      </c>
      <c r="M7" s="11">
        <f>IFERROR(__xludf.DUMMYFUNCTION("""COMPUTED_VALUE"""),-2.0)</f>
        <v>-2</v>
      </c>
      <c r="N7" s="11">
        <f>IFERROR(__xludf.DUMMYFUNCTION("""COMPUTED_VALUE"""),-2.0)</f>
        <v>-2</v>
      </c>
      <c r="O7" s="11" t="str">
        <f>IFERROR(__xludf.DUMMYFUNCTION("""COMPUTED_VALUE"""),"C")</f>
        <v>C</v>
      </c>
      <c r="P7" s="13">
        <f>IFERROR(__xludf.DUMMYFUNCTION("""COMPUTED_VALUE"""),7.0)</f>
        <v>7</v>
      </c>
      <c r="Q7" s="11"/>
      <c r="R7" s="11"/>
      <c r="S7" s="11"/>
      <c r="T7" s="11"/>
      <c r="U7" s="11"/>
      <c r="V7" s="11"/>
      <c r="W7" s="11"/>
      <c r="X7" s="11"/>
      <c r="Y7" s="11"/>
      <c r="Z7" s="11"/>
      <c r="AA7" s="11"/>
      <c r="AB7" s="11"/>
    </row>
    <row r="8" ht="15.75" customHeight="1">
      <c r="A8" s="11" t="str">
        <f>IFERROR(__xludf.DUMMYFUNCTION("""COMPUTED_VALUE"""),"Golem, Flesh")</f>
        <v>Golem, Flesh</v>
      </c>
      <c r="B8" s="12">
        <f>IFERROR(__xludf.DUMMYFUNCTION("""COMPUTED_VALUE"""),5.0)</f>
        <v>5</v>
      </c>
      <c r="C8" s="11" t="str">
        <f>IFERROR(__xludf.DUMMYFUNCTION("""COMPUTED_VALUE"""),"CR")</f>
        <v>CR</v>
      </c>
      <c r="D8" s="11" t="str">
        <f>IFERROR(__xludf.DUMMYFUNCTION("""COMPUTED_VALUE"""),"A ghastly monstrosity made of sewn-together corpses.")</f>
        <v>A ghastly monstrosity made of sewn-together corpses.</v>
      </c>
      <c r="E8" s="11">
        <f>IFERROR(__xludf.DUMMYFUNCTION("""COMPUTED_VALUE"""),9.0)</f>
        <v>9</v>
      </c>
      <c r="F8" s="11">
        <f>IFERROR(__xludf.DUMMYFUNCTION("""COMPUTED_VALUE"""),35.0)</f>
        <v>35</v>
      </c>
      <c r="G8" s="11" t="str">
        <f>IFERROR(__xludf.DUMMYFUNCTION("""COMPUTED_VALUE"""),"3 slam +6 (1d8)")</f>
        <v>3 slam +6 (1d8)</v>
      </c>
      <c r="H8" s="11" t="str">
        <f>IFERROR(__xludf.DUMMYFUNCTION("""COMPUTED_VALUE"""),"near")</f>
        <v>near</v>
      </c>
      <c r="I8" s="11">
        <f>IFERROR(__xludf.DUMMYFUNCTION("""COMPUTED_VALUE"""),4.0)</f>
        <v>4</v>
      </c>
      <c r="J8" s="11">
        <f>IFERROR(__xludf.DUMMYFUNCTION("""COMPUTED_VALUE"""),-1.0)</f>
        <v>-1</v>
      </c>
      <c r="K8" s="11">
        <f>IFERROR(__xludf.DUMMYFUNCTION("""COMPUTED_VALUE"""),4.0)</f>
        <v>4</v>
      </c>
      <c r="L8" s="11">
        <f>IFERROR(__xludf.DUMMYFUNCTION("""COMPUTED_VALUE"""),-1.0)</f>
        <v>-1</v>
      </c>
      <c r="M8" s="11">
        <f>IFERROR(__xludf.DUMMYFUNCTION("""COMPUTED_VALUE"""),1.0)</f>
        <v>1</v>
      </c>
      <c r="N8" s="11">
        <f>IFERROR(__xludf.DUMMYFUNCTION("""COMPUTED_VALUE"""),-3.0)</f>
        <v>-3</v>
      </c>
      <c r="O8" s="11" t="str">
        <f>IFERROR(__xludf.DUMMYFUNCTION("""COMPUTED_VALUE"""),"N")</f>
        <v>N</v>
      </c>
      <c r="P8" s="13">
        <f>IFERROR(__xludf.DUMMYFUNCTION("""COMPUTED_VALUE"""),7.0)</f>
        <v>7</v>
      </c>
      <c r="Q8" s="11" t="str">
        <f>IFERROR(__xludf.DUMMYFUNCTION("""COMPUTED_VALUE"""),"Golem. Immune to damage from fire, cold, or non-magical sources. Healed by electricity.")</f>
        <v>Golem. Immune to damage from fire, cold, or non-magical sources. Healed by electricity.</v>
      </c>
      <c r="R8" s="11" t="str">
        <f>IFERROR(__xludf.DUMMYFUNCTION("""COMPUTED_VALUE"""),"Berserk. When at or below 20 HP, +1 slam attack and slams deal double damage.")</f>
        <v>Berserk. When at or below 20 HP, +1 slam attack and slams deal double damage.</v>
      </c>
      <c r="S8" s="11"/>
      <c r="T8" s="11"/>
      <c r="U8" s="11"/>
      <c r="V8" s="11"/>
      <c r="W8" s="11"/>
      <c r="X8" s="11"/>
      <c r="Y8" s="11"/>
      <c r="Z8" s="11"/>
      <c r="AA8" s="11"/>
      <c r="AB8" s="11"/>
    </row>
    <row r="9" ht="15.75" customHeight="1">
      <c r="A9" s="11" t="str">
        <f>IFERROR(__xludf.DUMMYFUNCTION("""COMPUTED_VALUE"""),"Gorgon")</f>
        <v>Gorgon</v>
      </c>
      <c r="B9" s="12">
        <f>IFERROR(__xludf.DUMMYFUNCTION("""COMPUTED_VALUE"""),5.0)</f>
        <v>5</v>
      </c>
      <c r="C9" s="11" t="str">
        <f>IFERROR(__xludf.DUMMYFUNCTION("""COMPUTED_VALUE"""),"CR")</f>
        <v>CR</v>
      </c>
      <c r="D9" s="11" t="str">
        <f>IFERROR(__xludf.DUMMYFUNCTION("""COMPUTED_VALUE"""),"A snorting bull made entirely of iron plating. A cloud of green fog billows from its nostrils.")</f>
        <v>A snorting bull made entirely of iron plating. A cloud of green fog billows from its nostrils.</v>
      </c>
      <c r="E9" s="11">
        <f>IFERROR(__xludf.DUMMYFUNCTION("""COMPUTED_VALUE"""),18.0)</f>
        <v>18</v>
      </c>
      <c r="F9" s="11">
        <f>IFERROR(__xludf.DUMMYFUNCTION("""COMPUTED_VALUE"""),33.0)</f>
        <v>33</v>
      </c>
      <c r="G9" s="11" t="str">
        <f>IFERROR(__xludf.DUMMYFUNCTION("""COMPUTED_VALUE"""),"2 gore +6 (2d8) or 1 charge or 1 petrify fog")</f>
        <v>2 gore +6 (2d8) or 1 charge or 1 petrify fog</v>
      </c>
      <c r="H9" s="11" t="str">
        <f>IFERROR(__xludf.DUMMYFUNCTION("""COMPUTED_VALUE"""),"double near")</f>
        <v>double near</v>
      </c>
      <c r="I9" s="11">
        <f>IFERROR(__xludf.DUMMYFUNCTION("""COMPUTED_VALUE"""),4.0)</f>
        <v>4</v>
      </c>
      <c r="J9" s="11">
        <f>IFERROR(__xludf.DUMMYFUNCTION("""COMPUTED_VALUE"""),0.0)</f>
        <v>0</v>
      </c>
      <c r="K9" s="11">
        <f>IFERROR(__xludf.DUMMYFUNCTION("""COMPUTED_VALUE"""),2.0)</f>
        <v>2</v>
      </c>
      <c r="L9" s="11">
        <f>IFERROR(__xludf.DUMMYFUNCTION("""COMPUTED_VALUE"""),-3.0)</f>
        <v>-3</v>
      </c>
      <c r="M9" s="11">
        <f>IFERROR(__xludf.DUMMYFUNCTION("""COMPUTED_VALUE"""),1.0)</f>
        <v>1</v>
      </c>
      <c r="N9" s="11">
        <f>IFERROR(__xludf.DUMMYFUNCTION("""COMPUTED_VALUE"""),-3.0)</f>
        <v>-3</v>
      </c>
      <c r="O9" s="11" t="str">
        <f>IFERROR(__xludf.DUMMYFUNCTION("""COMPUTED_VALUE"""),"C")</f>
        <v>C</v>
      </c>
      <c r="P9" s="13">
        <f>IFERROR(__xludf.DUMMYFUNCTION("""COMPUTED_VALUE"""),7.0)</f>
        <v>7</v>
      </c>
      <c r="Q9" s="11" t="str">
        <f>IFERROR(__xludf.DUMMYFUNCTION("""COMPUTED_VALUE"""),"Charge. Move up to double near in straight line and make 1 gore attack. If hit, x3 damage.")</f>
        <v>Charge. Move up to double near in straight line and make 1 gore attack. If hit, x3 damage.</v>
      </c>
      <c r="R9" s="11" t="str">
        <f>IFERROR(__xludf.DUMMYFUNCTION("""COMPUTED_VALUE"""),"Petrifying Breath. Fills a near-sized cube extending from gorgon. DC 15 CON or petrified (gorgons immune).")</f>
        <v>Petrifying Breath. Fills a near-sized cube extending from gorgon. DC 15 CON or petrified (gorgons immune).</v>
      </c>
      <c r="S9" s="11"/>
      <c r="T9" s="11"/>
      <c r="U9" s="11"/>
      <c r="V9" s="11"/>
      <c r="W9" s="11"/>
      <c r="X9" s="11"/>
      <c r="Y9" s="11"/>
      <c r="Z9" s="11"/>
      <c r="AA9" s="11"/>
      <c r="AB9" s="11"/>
    </row>
    <row r="10" ht="15.75" customHeight="1">
      <c r="A10" s="11" t="str">
        <f>IFERROR(__xludf.DUMMYFUNCTION("""COMPUTED_VALUE"""),"Minotaur")</f>
        <v>Minotaur</v>
      </c>
      <c r="B10" s="12">
        <f>IFERROR(__xludf.DUMMYFUNCTION("""COMPUTED_VALUE"""),3.0)</f>
        <v>3</v>
      </c>
      <c r="C10" s="11" t="str">
        <f>IFERROR(__xludf.DUMMYFUNCTION("""COMPUTED_VALUE"""),"CR")</f>
        <v>CR</v>
      </c>
      <c r="D10" s="11" t="str">
        <f>IFERROR(__xludf.DUMMYFUNCTION("""COMPUTED_VALUE"""),"Ferocious bull-men with hooves and curved horns. They live in mazelike tunnels.")</f>
        <v>Ferocious bull-men with hooves and curved horns. They live in mazelike tunnels.</v>
      </c>
      <c r="E10" s="11">
        <f>IFERROR(__xludf.DUMMYFUNCTION("""COMPUTED_VALUE"""),14.0)</f>
        <v>14</v>
      </c>
      <c r="F10" s="11">
        <f>IFERROR(__xludf.DUMMYFUNCTION("""COMPUTED_VALUE"""),34.0)</f>
        <v>34</v>
      </c>
      <c r="G10" s="11" t="str">
        <f>IFERROR(__xludf.DUMMYFUNCTION("""COMPUTED_VALUE"""),"2 greataxe +6 (1d10) and 1 horns +6 (1d12)")</f>
        <v>2 greataxe +6 (1d10) and 1 horns +6 (1d12)</v>
      </c>
      <c r="H10" s="11" t="str">
        <f>IFERROR(__xludf.DUMMYFUNCTION("""COMPUTED_VALUE"""),"near")</f>
        <v>near</v>
      </c>
      <c r="I10" s="11">
        <f>IFERROR(__xludf.DUMMYFUNCTION("""COMPUTED_VALUE"""),4.0)</f>
        <v>4</v>
      </c>
      <c r="J10" s="11">
        <f>IFERROR(__xludf.DUMMYFUNCTION("""COMPUTED_VALUE"""),1.0)</f>
        <v>1</v>
      </c>
      <c r="K10" s="11">
        <f>IFERROR(__xludf.DUMMYFUNCTION("""COMPUTED_VALUE"""),3.0)</f>
        <v>3</v>
      </c>
      <c r="L10" s="11">
        <f>IFERROR(__xludf.DUMMYFUNCTION("""COMPUTED_VALUE"""),1.0)</f>
        <v>1</v>
      </c>
      <c r="M10" s="11">
        <f>IFERROR(__xludf.DUMMYFUNCTION("""COMPUTED_VALUE"""),2.0)</f>
        <v>2</v>
      </c>
      <c r="N10" s="11">
        <f>IFERROR(__xludf.DUMMYFUNCTION("""COMPUTED_VALUE"""),1.0)</f>
        <v>1</v>
      </c>
      <c r="O10" s="11" t="str">
        <f>IFERROR(__xludf.DUMMYFUNCTION("""COMPUTED_VALUE"""),"C")</f>
        <v>C</v>
      </c>
      <c r="P10" s="13">
        <f>IFERROR(__xludf.DUMMYFUNCTION("""COMPUTED_VALUE"""),7.0)</f>
        <v>7</v>
      </c>
      <c r="Q10" s="11" t="str">
        <f>IFERROR(__xludf.DUMMYFUNCTION("""COMPUTED_VALUE"""),"Charge: In place of attacks, move up to double near in a straight line and make 1 horn attack. If hit, x2 damage.")</f>
        <v>Charge: In place of attacks, move up to double near in a straight line and make 1 horn attack. If hit, x2 damage.</v>
      </c>
      <c r="R10" s="11"/>
      <c r="S10" s="11"/>
      <c r="T10" s="11"/>
      <c r="U10" s="11"/>
      <c r="V10" s="11"/>
      <c r="W10" s="11"/>
      <c r="X10" s="11"/>
      <c r="Y10" s="11"/>
      <c r="Z10" s="11"/>
      <c r="AA10" s="11"/>
      <c r="AB10" s="11"/>
    </row>
    <row r="11" ht="15.75" customHeight="1">
      <c r="A11" s="11" t="str">
        <f>IFERROR(__xludf.DUMMYFUNCTION("""COMPUTED_VALUE"""),"Oni")</f>
        <v>Oni</v>
      </c>
      <c r="B11" s="12">
        <f>IFERROR(__xludf.DUMMYFUNCTION("""COMPUTED_VALUE"""),7.0)</f>
        <v>7</v>
      </c>
      <c r="C11" s="11" t="str">
        <f>IFERROR(__xludf.DUMMYFUNCTION("""COMPUTED_VALUE"""),"CR")</f>
        <v>CR</v>
      </c>
      <c r="D11" s="11" t="str">
        <f>IFERROR(__xludf.DUMMYFUNCTION("""COMPUTED_VALUE"""),"Cunning and sorcerous ogre-demons with shaggy white hair, blue skin, and yellow eyes.")</f>
        <v>Cunning and sorcerous ogre-demons with shaggy white hair, blue skin, and yellow eyes.</v>
      </c>
      <c r="E11" s="11">
        <f>IFERROR(__xludf.DUMMYFUNCTION("""COMPUTED_VALUE"""),11.0)</f>
        <v>11</v>
      </c>
      <c r="F11" s="11" t="str">
        <f>IFERROR(__xludf.DUMMYFUNCTION("""COMPUTED_VALUE"""),"33")</f>
        <v>33</v>
      </c>
      <c r="G11" s="11" t="str">
        <f>IFERROR(__xludf.DUMMYFUNCTION("""COMPUTED_VALUE"""),"1 glaive (near) +6 (1d10) or 1 spell +5")</f>
        <v>1 glaive (near) +6 (1d10) or 1 spell +5</v>
      </c>
      <c r="H11" s="11" t="str">
        <f>IFERROR(__xludf.DUMMYFUNCTION("""COMPUTED_VALUE"""),"near")</f>
        <v>near</v>
      </c>
      <c r="I11" s="11" t="str">
        <f>IFERROR(__xludf.DUMMYFUNCTION("""COMPUTED_VALUE"""),"5")</f>
        <v>5</v>
      </c>
      <c r="J11" s="11" t="str">
        <f>IFERROR(__xludf.DUMMYFUNCTION("""COMPUTED_VALUE"""),"1")</f>
        <v>1</v>
      </c>
      <c r="K11" s="11" t="str">
        <f>IFERROR(__xludf.DUMMYFUNCTION("""COMPUTED_VALUE"""),"2")</f>
        <v>2</v>
      </c>
      <c r="L11" s="11" t="str">
        <f>IFERROR(__xludf.DUMMYFUNCTION("""COMPUTED_VALUE"""),"2")</f>
        <v>2</v>
      </c>
      <c r="M11" s="11" t="str">
        <f>IFERROR(__xludf.DUMMYFUNCTION("""COMPUTED_VALUE"""),"1")</f>
        <v>1</v>
      </c>
      <c r="N11" s="11" t="str">
        <f>IFERROR(__xludf.DUMMYFUNCTION("""COMPUTED_VALUE"""),"3")</f>
        <v>3</v>
      </c>
      <c r="O11" s="11" t="str">
        <f>IFERROR(__xludf.DUMMYFUNCTION("""COMPUTED_VALUE"""),"C")</f>
        <v>C</v>
      </c>
      <c r="P11" s="13">
        <f>IFERROR(__xludf.DUMMYFUNCTION("""COMPUTED_VALUE"""),7.0)</f>
        <v>7</v>
      </c>
      <c r="Q11" s="11" t="str">
        <f>IFERROR(__xludf.DUMMYFUNCTION("""COMPUTED_VALUE"""),"Shapeshift. In place of attacks, turn into any humanoid or back into original form.")</f>
        <v>Shapeshift. In place of attacks, turn into any humanoid or back into original form.</v>
      </c>
      <c r="R11" s="11" t="str">
        <f>IFERROR(__xludf.DUMMYFUNCTION("""COMPUTED_VALUE"""),"Fade (CHA Spell). DC 13. Self. Become invisible for 1d4 rounds.")</f>
        <v>Fade (CHA Spell). DC 13. Self. Become invisible for 1d4 rounds.</v>
      </c>
      <c r="S11" s="11" t="str">
        <f>IFERROR(__xludf.DUMMYFUNCTION("""COMPUTED_VALUE"""),"Hellfrost (CHA Spell). DC 13. All within near-sized cube extending from oni 3d6 damage.")</f>
        <v>Hellfrost (CHA Spell). DC 13. All within near-sized cube extending from oni 3d6 damage.</v>
      </c>
      <c r="T11" s="11" t="str">
        <f>IFERROR(__xludf.DUMMYFUNCTION("""COMPUTED_VALUE"""),"Mist (CHA Spell). DC 13. Self. Turn into mist that can fly double near. Lasts 2d4 rounds.")</f>
        <v>Mist (CHA Spell). DC 13. Self. Turn into mist that can fly double near. Lasts 2d4 rounds.</v>
      </c>
      <c r="U11" s="11"/>
      <c r="V11" s="11"/>
      <c r="W11" s="11"/>
      <c r="X11" s="11"/>
      <c r="Y11" s="11"/>
      <c r="Z11" s="11"/>
      <c r="AA11" s="11"/>
      <c r="AB11" s="11"/>
    </row>
    <row r="12" ht="15.75" customHeight="1">
      <c r="A12" s="11" t="str">
        <f>IFERROR(__xludf.DUMMYFUNCTION("""COMPUTED_VALUE"""),"Otyugh")</f>
        <v>Otyugh</v>
      </c>
      <c r="B12" s="12">
        <f>IFERROR(__xludf.DUMMYFUNCTION("""COMPUTED_VALUE"""),5.0)</f>
        <v>5</v>
      </c>
      <c r="C12" s="11" t="str">
        <f>IFERROR(__xludf.DUMMYFUNCTION("""COMPUTED_VALUE"""),"CR")</f>
        <v>CR</v>
      </c>
      <c r="D12" s="11" t="str">
        <f>IFERROR(__xludf.DUMMYFUNCTION("""COMPUTED_VALUE"""),"Stumpy, three-legged beasts with barbed tentacles and vast")</f>
        <v>Stumpy, three-legged beasts with barbed tentacles and vast</v>
      </c>
      <c r="E12" s="11">
        <f>IFERROR(__xludf.DUMMYFUNCTION("""COMPUTED_VALUE"""),13.0)</f>
        <v>13</v>
      </c>
      <c r="F12" s="11">
        <f>IFERROR(__xludf.DUMMYFUNCTION("""COMPUTED_VALUE"""),35.0)</f>
        <v>35</v>
      </c>
      <c r="G12" s="11" t="str">
        <f>IFERROR(__xludf.DUMMYFUNCTION("""COMPUTED_VALUE"""),"2 tentacle +5 (1d8) and 1 bite +5 (1d10 +
disease)")</f>
        <v>2 tentacle +5 (1d8) and 1 bite +5 (1d10 +
disease)</v>
      </c>
      <c r="H12" s="11" t="str">
        <f>IFERROR(__xludf.DUMMYFUNCTION("""COMPUTED_VALUE"""),"near")</f>
        <v>near</v>
      </c>
      <c r="I12" s="11">
        <f>IFERROR(__xludf.DUMMYFUNCTION("""COMPUTED_VALUE"""),4.0)</f>
        <v>4</v>
      </c>
      <c r="J12" s="11">
        <f>IFERROR(__xludf.DUMMYFUNCTION("""COMPUTED_VALUE"""),-1.0)</f>
        <v>-1</v>
      </c>
      <c r="K12" s="11">
        <f>IFERROR(__xludf.DUMMYFUNCTION("""COMPUTED_VALUE"""),4.0)</f>
        <v>4</v>
      </c>
      <c r="L12" s="11">
        <f>IFERROR(__xludf.DUMMYFUNCTION("""COMPUTED_VALUE"""),-2.0)</f>
        <v>-2</v>
      </c>
      <c r="M12" s="11">
        <f>IFERROR(__xludf.DUMMYFUNCTION("""COMPUTED_VALUE"""),0.0)</f>
        <v>0</v>
      </c>
      <c r="N12" s="11">
        <f>IFERROR(__xludf.DUMMYFUNCTION("""COMPUTED_VALUE"""),-3.0)</f>
        <v>-3</v>
      </c>
      <c r="O12" s="11" t="str">
        <f>IFERROR(__xludf.DUMMYFUNCTION("""COMPUTED_VALUE"""),"N")</f>
        <v>N</v>
      </c>
      <c r="P12" s="13">
        <f>IFERROR(__xludf.DUMMYFUNCTION("""COMPUTED_VALUE"""),7.0)</f>
        <v>7</v>
      </c>
      <c r="Q12" s="11" t="str">
        <f>IFERROR(__xludf.DUMMYFUNCTION("""COMPUTED_VALUE"""),"Disease. DC 15 CON or infected. DC 15 CON each day or lose 1d6 HP (can't heal). Ends on success.")</f>
        <v>Disease. DC 15 CON or infected. DC 15 CON each day or lose 1d6 HP (can't heal). Ends on success.</v>
      </c>
      <c r="R12" s="11"/>
      <c r="S12" s="11"/>
      <c r="T12" s="11"/>
      <c r="U12" s="11"/>
      <c r="V12" s="11"/>
      <c r="W12" s="11"/>
      <c r="X12" s="11"/>
      <c r="Y12" s="11"/>
      <c r="Z12" s="11"/>
      <c r="AA12" s="11"/>
      <c r="AB12" s="11"/>
    </row>
    <row r="13" ht="15.75" customHeight="1">
      <c r="A13" s="11" t="str">
        <f>IFERROR(__xludf.DUMMYFUNCTION("""COMPUTED_VALUE"""),"Outsider, Void Spawn")</f>
        <v>Outsider, Void Spawn</v>
      </c>
      <c r="B13" s="12" t="str">
        <f>IFERROR(__xludf.DUMMYFUNCTION("""COMPUTED_VALUE"""),"")</f>
        <v/>
      </c>
      <c r="C13" s="11" t="str">
        <f>IFERROR(__xludf.DUMMYFUNCTION("""COMPUTED_VALUE"""),"CR")</f>
        <v>CR</v>
      </c>
      <c r="D13" s="11" t="str">
        <f>IFERROR(__xludf.DUMMYFUNCTION("""COMPUTED_VALUE"""),"Scythe-like limbs jut from a purple bulb as big as an ogre. Its lower half is a nest of tentacles.")</f>
        <v>Scythe-like limbs jut from a purple bulb as big as an ogre. Its lower half is a nest of tentacles.</v>
      </c>
      <c r="E13" s="11">
        <f>IFERROR(__xludf.DUMMYFUNCTION("""COMPUTED_VALUE"""),13.0)</f>
        <v>13</v>
      </c>
      <c r="F13" s="11">
        <f>IFERROR(__xludf.DUMMYFUNCTION("""COMPUTED_VALUE"""),34.0)</f>
        <v>34</v>
      </c>
      <c r="G13" s="11" t="str">
        <f>IFERROR(__xludf.DUMMYFUNCTION("""COMPUTED_VALUE"""),"2 scythe +6 (1d10)")</f>
        <v>2 scythe +6 (1d10)</v>
      </c>
      <c r="H13" s="11" t="str">
        <f>IFERROR(__xludf.DUMMYFUNCTION("""COMPUTED_VALUE"""),"near (fly)")</f>
        <v>near (fly)</v>
      </c>
      <c r="I13" s="11">
        <f>IFERROR(__xludf.DUMMYFUNCTION("""COMPUTED_VALUE"""),4.0)</f>
        <v>4</v>
      </c>
      <c r="J13" s="11">
        <f>IFERROR(__xludf.DUMMYFUNCTION("""COMPUTED_VALUE"""),1.0)</f>
        <v>1</v>
      </c>
      <c r="K13" s="11">
        <f>IFERROR(__xludf.DUMMYFUNCTION("""COMPUTED_VALUE"""),3.0)</f>
        <v>3</v>
      </c>
      <c r="L13" s="11">
        <f>IFERROR(__xludf.DUMMYFUNCTION("""COMPUTED_VALUE"""),0.0)</f>
        <v>0</v>
      </c>
      <c r="M13" s="11">
        <f>IFERROR(__xludf.DUMMYFUNCTION("""COMPUTED_VALUE"""),1.0)</f>
        <v>1</v>
      </c>
      <c r="N13" s="11">
        <f>IFERROR(__xludf.DUMMYFUNCTION("""COMPUTED_VALUE"""),-1.0)</f>
        <v>-1</v>
      </c>
      <c r="O13" s="11" t="str">
        <f>IFERROR(__xludf.DUMMYFUNCTION("""COMPUTED_VALUE"""),"C")</f>
        <v>C</v>
      </c>
      <c r="P13" s="13">
        <f>IFERROR(__xludf.DUMMYFUNCTION("""COMPUTED_VALUE"""),7.0)</f>
        <v>7</v>
      </c>
      <c r="Q13" s="14" t="str">
        <f>IFERROR(__xludf.DUMMYFUNCTION("""COMPUTED_VALUE"""),"Impervious. Immune to cold.")</f>
        <v>Impervious. Immune to cold.</v>
      </c>
      <c r="R13" s="14" t="str">
        <f>IFERROR(__xludf.DUMMYFUNCTION("""COMPUTED_VALUE"""),"Toxin. DC 12 CON or paralyzed for 1d4 rounds")</f>
        <v>Toxin. DC 12 CON or paralyzed for 1d4 rounds</v>
      </c>
      <c r="S13" s="14"/>
      <c r="T13" s="14"/>
      <c r="U13" s="14"/>
      <c r="V13" s="14"/>
      <c r="W13" s="11"/>
      <c r="X13" s="11"/>
      <c r="Y13" s="11"/>
      <c r="Z13" s="11"/>
      <c r="AA13" s="11"/>
      <c r="AB13" s="11"/>
    </row>
    <row r="14" ht="15.75" customHeight="1">
      <c r="A14" s="11" t="str">
        <f>IFERROR(__xludf.DUMMYFUNCTION("""COMPUTED_VALUE"""),"Troll, Frost")</f>
        <v>Troll, Frost</v>
      </c>
      <c r="B14" s="12" t="str">
        <f>IFERROR(__xludf.DUMMYFUNCTION("""COMPUTED_VALUE"""),"")</f>
        <v/>
      </c>
      <c r="C14" s="11" t="str">
        <f>IFERROR(__xludf.DUMMYFUNCTION("""COMPUTED_VALUE"""),"CR")</f>
        <v>CR</v>
      </c>
      <c r="D14" s="11" t="str">
        <f>IFERROR(__xludf.DUMMYFUNCTION("""COMPUTED_VALUE"""),"Rime-covered trolls with blue skin and flinty, black eyes. They stalk arctic lands and frozen boreal forests.")</f>
        <v>Rime-covered trolls with blue skin and flinty, black eyes. They stalk arctic lands and frozen boreal forests.</v>
      </c>
      <c r="E14" s="11">
        <f>IFERROR(__xludf.DUMMYFUNCTION("""COMPUTED_VALUE"""),13.0)</f>
        <v>13</v>
      </c>
      <c r="F14" s="11">
        <f>IFERROR(__xludf.DUMMYFUNCTION("""COMPUTED_VALUE"""),34.0)</f>
        <v>34</v>
      </c>
      <c r="G14" s="11" t="str">
        <f>IFERROR(__xludf.DUMMYFUNCTION("""COMPUTED_VALUE"""),"2 claw +5 (1d8) and 1 bite +5 (1d12)")</f>
        <v>2 claw +5 (1d8) and 1 bite +5 (1d12)</v>
      </c>
      <c r="H14" s="11" t="str">
        <f>IFERROR(__xludf.DUMMYFUNCTION("""COMPUTED_VALUE"""),"near")</f>
        <v>near</v>
      </c>
      <c r="I14" s="11">
        <f>IFERROR(__xludf.DUMMYFUNCTION("""COMPUTED_VALUE"""),3.0)</f>
        <v>3</v>
      </c>
      <c r="J14" s="11">
        <f>IFERROR(__xludf.DUMMYFUNCTION("""COMPUTED_VALUE"""),2.0)</f>
        <v>2</v>
      </c>
      <c r="K14" s="11">
        <f>IFERROR(__xludf.DUMMYFUNCTION("""COMPUTED_VALUE"""),3.0)</f>
        <v>3</v>
      </c>
      <c r="L14" s="11">
        <f>IFERROR(__xludf.DUMMYFUNCTION("""COMPUTED_VALUE"""),-1.0)</f>
        <v>-1</v>
      </c>
      <c r="M14" s="11">
        <f>IFERROR(__xludf.DUMMYFUNCTION("""COMPUTED_VALUE"""),0.0)</f>
        <v>0</v>
      </c>
      <c r="N14" s="11">
        <f>IFERROR(__xludf.DUMMYFUNCTION("""COMPUTED_VALUE"""),-1.0)</f>
        <v>-1</v>
      </c>
      <c r="O14" s="11" t="str">
        <f>IFERROR(__xludf.DUMMYFUNCTION("""COMPUTED_VALUE"""),"C")</f>
        <v>C</v>
      </c>
      <c r="P14" s="13">
        <f>IFERROR(__xludf.DUMMYFUNCTION("""COMPUTED_VALUE"""),7.0)</f>
        <v>7</v>
      </c>
      <c r="Q14" s="11" t="str">
        <f>IFERROR(__xludf.DUMMYFUNCTION("""COMPUTED_VALUE"""),"Impervious. Cold and fire immune.")</f>
        <v>Impervious. Cold and fire immune.</v>
      </c>
      <c r="R14" s="11" t="str">
        <f>IFERROR(__xludf.DUMMYFUNCTION("""COMPUTED_VALUE"""),"Regenerate. Regains 2d6 HP on its turn unless its wounds are cauterized with acid.")</f>
        <v>Regenerate. Regains 2d6 HP on its turn unless its wounds are cauterized with acid.</v>
      </c>
      <c r="S14" s="11"/>
      <c r="T14" s="11"/>
      <c r="U14" s="11"/>
      <c r="V14" s="11"/>
      <c r="W14" s="11"/>
      <c r="X14" s="11"/>
      <c r="Y14" s="11"/>
      <c r="Z14" s="11"/>
      <c r="AA14" s="11"/>
      <c r="AB14" s="11"/>
    </row>
  </sheetData>
  <customSheetViews>
    <customSheetView guid="{7B4FF760-C879-4C05-8F10-45D59B7E7C3E}" filter="1" showAutoFilter="1">
      <autoFilter ref="$A$1:$AB$14">
        <filterColumn colId="2">
          <filters/>
        </filterColumn>
      </autoFilter>
    </customSheetView>
    <customSheetView guid="{5CDEC3B1-201F-4BAD-941F-A80E62A04015}" filter="1" showAutoFilter="1">
      <autoFilter ref="$A$1:$AB$14">
        <filterColumn colId="2">
          <filters/>
        </filterColumn>
      </autoFilter>
    </customSheetView>
    <customSheetView guid="{4FEF9F0C-4236-4853-B093-88FE2289FD26}" filter="1" showAutoFilter="1">
      <autoFilter ref="$A$1:$AB$14">
        <filterColumn colId="2">
          <filters>
            <filter val="CR"/>
          </filters>
        </filterColumn>
      </autoFilter>
    </customSheetView>
    <customSheetView guid="{7904D927-A127-473C-8B57-4EE1C7E3FAE9}" filter="1" showAutoFilter="1">
      <autoFilter ref="$A$1:$AB$14">
        <filterColumn colId="2">
          <filters/>
        </filterColumn>
      </autoFilter>
    </customSheetView>
    <customSheetView guid="{51DCF084-7C01-403C-9896-1E7742DCA6B3}" filter="1" showAutoFilter="1">
      <autoFilter ref="$A$1:$AB$14"/>
    </customSheetView>
    <customSheetView guid="{6B2E9E35-D6A1-4749-95F2-2658A691119A}" filter="1" showAutoFilter="1">
      <autoFilter ref="$A$1:$AB$14">
        <filterColumn colId="2">
          <filters/>
        </filterColumn>
      </autoFilter>
    </customSheetView>
  </customSheetView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IFERROR(__xludf.DUMMYFUNCTION("FILTER(All!A5:Z20, All!P5:P20 = 8)
"),"Aboleth")</f>
        <v>Aboleth</v>
      </c>
      <c r="B2" s="12">
        <f>IFERROR(__xludf.DUMMYFUNCTION("""COMPUTED_VALUE"""),10.0)</f>
        <v>10</v>
      </c>
      <c r="C2" s="11" t="str">
        <f>IFERROR(__xludf.DUMMYFUNCTION("""COMPUTED_VALUE"""),"CR")</f>
        <v>CR</v>
      </c>
      <c r="D2" s="11" t="str">
        <f>IFERROR(__xludf.DUMMYFUNCTION("""COMPUTED_VALUE"""),"Enormous, antediluvian catfish covered in slime and tentacles. They hate all intelligent beings.")</f>
        <v>Enormous, antediluvian catfish covered in slime and tentacles. They hate all intelligent beings.</v>
      </c>
      <c r="E2" s="11">
        <f>IFERROR(__xludf.DUMMYFUNCTION("""COMPUTED_VALUE"""),16.0)</f>
        <v>16</v>
      </c>
      <c r="F2" s="11">
        <f>IFERROR(__xludf.DUMMYFUNCTION("""COMPUTED_VALUE"""),39.0)</f>
        <v>39</v>
      </c>
      <c r="G2" s="11" t="str">
        <f>IFERROR(__xludf.DUMMYFUNCTION("""COMPUTED_VALUE"""),"2 tentacle (near) +5 (1d8 + curse) or 1 tail +5 (3d6)")</f>
        <v>2 tentacle (near) +5 (1d8 + curse) or 1 tail +5 (3d6)</v>
      </c>
      <c r="H2" s="11" t="str">
        <f>IFERROR(__xludf.DUMMYFUNCTION("""COMPUTED_VALUE"""),"near (swim)")</f>
        <v>near (swim)</v>
      </c>
      <c r="I2" s="11">
        <f>IFERROR(__xludf.DUMMYFUNCTION("""COMPUTED_VALUE"""),4.0)</f>
        <v>4</v>
      </c>
      <c r="J2" s="11">
        <f>IFERROR(__xludf.DUMMYFUNCTION("""COMPUTED_VALUE"""),-1.0)</f>
        <v>-1</v>
      </c>
      <c r="K2" s="11">
        <f>IFERROR(__xludf.DUMMYFUNCTION("""COMPUTED_VALUE"""),3.0)</f>
        <v>3</v>
      </c>
      <c r="L2" s="11">
        <f>IFERROR(__xludf.DUMMYFUNCTION("""COMPUTED_VALUE"""),4.0)</f>
        <v>4</v>
      </c>
      <c r="M2" s="11">
        <f>IFERROR(__xludf.DUMMYFUNCTION("""COMPUTED_VALUE"""),2.0)</f>
        <v>2</v>
      </c>
      <c r="N2" s="11">
        <f>IFERROR(__xludf.DUMMYFUNCTION("""COMPUTED_VALUE"""),2.0)</f>
        <v>2</v>
      </c>
      <c r="O2" s="11" t="str">
        <f>IFERROR(__xludf.DUMMYFUNCTION("""COMPUTED_VALUE"""),"C")</f>
        <v>C</v>
      </c>
      <c r="P2" s="13">
        <f>IFERROR(__xludf.DUMMYFUNCTION("""COMPUTED_VALUE"""),8.0)</f>
        <v>8</v>
      </c>
      <c r="Q2" s="11" t="str">
        <f>IFERROR(__xludf.DUMMYFUNCTION("""COMPUTED_VALUE"""),"Curse: DC 15 CON or target gains a magical curse, turning into a deep one over 2d10 days.")</f>
        <v>Curse: DC 15 CON or target gains a magical curse, turning into a deep one over 2d10 days.</v>
      </c>
      <c r="R2" s="11" t="str">
        <f>IFERROR(__xludf.DUMMYFUNCTION("""COMPUTED_VALUE"""),"Enslave: In place of attacks, one creature within far DC 15 WIS or aboleth controls for 1d4 rounds.")</f>
        <v>Enslave: In place of attacks, one creature within far DC 15 WIS or aboleth controls for 1d4 rounds.</v>
      </c>
      <c r="S2" s="11" t="str">
        <f>IFERROR(__xludf.DUMMYFUNCTION("""COMPUTED_VALUE"""),"Telepathic: Read the thoughts of all creatures within far.")</f>
        <v>Telepathic: Read the thoughts of all creatures within far.</v>
      </c>
      <c r="T2" s="11"/>
      <c r="U2" s="11"/>
      <c r="V2" s="11"/>
      <c r="W2" s="11"/>
      <c r="X2" s="11"/>
      <c r="Y2" s="11"/>
      <c r="Z2" s="11"/>
      <c r="AA2" s="11"/>
      <c r="AB2" s="11"/>
    </row>
    <row r="3" ht="15.75" customHeight="1">
      <c r="A3" s="11" t="str">
        <f>IFERROR(__xludf.DUMMYFUNCTION("""COMPUTED_VALUE"""),"Assassin")</f>
        <v>Assassin</v>
      </c>
      <c r="B3" s="12">
        <f>IFERROR(__xludf.DUMMYFUNCTION("""COMPUTED_VALUE"""),8.0)</f>
        <v>8</v>
      </c>
      <c r="C3" s="11" t="str">
        <f>IFERROR(__xludf.DUMMYFUNCTION("""COMPUTED_VALUE"""),"CR")</f>
        <v>CR</v>
      </c>
      <c r="D3" s="11" t="str">
        <f>IFERROR(__xludf.DUMMYFUNCTION("""COMPUTED_VALUE"""),"A black-cloaked, skulking killer.")</f>
        <v>A black-cloaked, skulking killer.</v>
      </c>
      <c r="E3" s="11">
        <f>IFERROR(__xludf.DUMMYFUNCTION("""COMPUTED_VALUE"""),15.0)</f>
        <v>15</v>
      </c>
      <c r="F3" s="11">
        <f>IFERROR(__xludf.DUMMYFUNCTION("""COMPUTED_VALUE"""),38.0)</f>
        <v>38</v>
      </c>
      <c r="G3" s="11" t="str">
        <f>IFERROR(__xludf.DUMMYFUNCTION("""COMPUTED_VALUE"""),"2 poisoned dagger (close/near) +6 (2d4)")</f>
        <v>2 poisoned dagger (close/near) +6 (2d4)</v>
      </c>
      <c r="H3" s="11" t="str">
        <f>IFERROR(__xludf.DUMMYFUNCTION("""COMPUTED_VALUE"""),"near (climb)")</f>
        <v>near (climb)</v>
      </c>
      <c r="I3" s="11">
        <f>IFERROR(__xludf.DUMMYFUNCTION("""COMPUTED_VALUE"""),2.0)</f>
        <v>2</v>
      </c>
      <c r="J3" s="11">
        <f>IFERROR(__xludf.DUMMYFUNCTION("""COMPUTED_VALUE"""),4.0)</f>
        <v>4</v>
      </c>
      <c r="K3" s="11">
        <f>IFERROR(__xludf.DUMMYFUNCTION("""COMPUTED_VALUE"""),2.0)</f>
        <v>2</v>
      </c>
      <c r="L3" s="11">
        <f>IFERROR(__xludf.DUMMYFUNCTION("""COMPUTED_VALUE"""),2.0)</f>
        <v>2</v>
      </c>
      <c r="M3" s="11">
        <f>IFERROR(__xludf.DUMMYFUNCTION("""COMPUTED_VALUE"""),3.0)</f>
        <v>3</v>
      </c>
      <c r="N3" s="11">
        <f>IFERROR(__xludf.DUMMYFUNCTION("""COMPUTED_VALUE"""),3.0)</f>
        <v>3</v>
      </c>
      <c r="O3" s="11" t="str">
        <f>IFERROR(__xludf.DUMMYFUNCTION("""COMPUTED_VALUE"""),"C")</f>
        <v>C</v>
      </c>
      <c r="P3" s="13">
        <f>IFERROR(__xludf.DUMMYFUNCTION("""COMPUTED_VALUE"""),8.0)</f>
        <v>8</v>
      </c>
      <c r="Q3" s="11" t="str">
        <f>IFERROR(__xludf.DUMMYFUNCTION("""COMPUTED_VALUE"""),"Execute. Deals x3 damage against surprised targets.")</f>
        <v>Execute. Deals x3 damage against surprised targets.</v>
      </c>
      <c r="R3" s="11"/>
      <c r="S3" s="11"/>
      <c r="T3" s="11"/>
      <c r="U3" s="11"/>
      <c r="V3" s="11"/>
      <c r="W3" s="11"/>
      <c r="X3" s="11"/>
      <c r="Y3" s="11"/>
      <c r="Z3" s="11"/>
      <c r="AA3" s="11"/>
      <c r="AB3" s="11"/>
    </row>
    <row r="4" ht="15.75" customHeight="1">
      <c r="A4" s="11" t="str">
        <f>IFERROR(__xludf.DUMMYFUNCTION("""COMPUTED_VALUE"""),"Brain Eater")</f>
        <v>Brain Eater</v>
      </c>
      <c r="B4" s="12">
        <f>IFERROR(__xludf.DUMMYFUNCTION("""COMPUTED_VALUE"""),7.0)</f>
        <v>7</v>
      </c>
      <c r="C4" s="11" t="str">
        <f>IFERROR(__xludf.DUMMYFUNCTION("""COMPUTED_VALUE"""),"CR")</f>
        <v>CR</v>
      </c>
      <c r="D4" s="11" t="str">
        <f>IFERROR(__xludf.DUMMYFUNCTION("""COMPUTED_VALUE"""),"Purple, gaunt humanoids with squidlike heads and four face tentacles.")</f>
        <v>Purple, gaunt humanoids with squidlike heads and four face tentacles.</v>
      </c>
      <c r="E4" s="11">
        <f>IFERROR(__xludf.DUMMYFUNCTION("""COMPUTED_VALUE"""),14.0)</f>
        <v>14</v>
      </c>
      <c r="F4" s="11">
        <f>IFERROR(__xludf.DUMMYFUNCTION("""COMPUTED_VALUE"""),36.0)</f>
        <v>36</v>
      </c>
      <c r="G4" s="11" t="str">
        <f>IFERROR(__xludf.DUMMYFUNCTION("""COMPUTED_VALUE"""),"4 tentacle +5 (1d8 + latch) or 1 mind
blast or 1 mind control")</f>
        <v>4 tentacle +5 (1d8 + latch) or 1 mind
blast or 1 mind control</v>
      </c>
      <c r="H4" s="11" t="str">
        <f>IFERROR(__xludf.DUMMYFUNCTION("""COMPUTED_VALUE"""),"near")</f>
        <v>near</v>
      </c>
      <c r="I4" s="11">
        <f>IFERROR(__xludf.DUMMYFUNCTION("""COMPUTED_VALUE"""),2.0)</f>
        <v>2</v>
      </c>
      <c r="J4" s="11">
        <f>IFERROR(__xludf.DUMMYFUNCTION("""COMPUTED_VALUE"""),3.0)</f>
        <v>3</v>
      </c>
      <c r="K4" s="11">
        <f>IFERROR(__xludf.DUMMYFUNCTION("""COMPUTED_VALUE"""),0.0)</f>
        <v>0</v>
      </c>
      <c r="L4" s="11">
        <f>IFERROR(__xludf.DUMMYFUNCTION("""COMPUTED_VALUE"""),4.0)</f>
        <v>4</v>
      </c>
      <c r="M4" s="11">
        <f>IFERROR(__xludf.DUMMYFUNCTION("""COMPUTED_VALUE"""),2.0)</f>
        <v>2</v>
      </c>
      <c r="N4" s="11">
        <f>IFERROR(__xludf.DUMMYFUNCTION("""COMPUTED_VALUE"""),4.0)</f>
        <v>4</v>
      </c>
      <c r="O4" s="11" t="str">
        <f>IFERROR(__xludf.DUMMYFUNCTION("""COMPUTED_VALUE"""),"C")</f>
        <v>C</v>
      </c>
      <c r="P4" s="13">
        <f>IFERROR(__xludf.DUMMYFUNCTION("""COMPUTED_VALUE"""),8.0)</f>
        <v>8</v>
      </c>
      <c r="Q4" s="11" t="str">
        <f>IFERROR(__xludf.DUMMYFUNCTION("""COMPUTED_VALUE"""),"Hear Thoughts. Can hear the surface thoughts of all intelligent creatures within near. ")</f>
        <v>Hear Thoughts. Can hear the surface thoughts of all intelligent creatures within near. </v>
      </c>
      <c r="R4" s="11" t="str">
        <f>IFERROR(__xludf.DUMMYFUNCTION("""COMPUTED_VALUE"""),"Latch. Tentacles attach to hit targets, automatically hitting the next round (DC 12 STR to remove 1d4 tentacles). If all four remain latched onto the same humanoid target for 1 round, the target's brain is ripped out and devoured.")</f>
        <v>Latch. Tentacles attach to hit targets, automatically hitting the next round (DC 12 STR to remove 1d4 tentacles). If all four remain latched onto the same humanoid target for 1 round, the target's brain is ripped out and devoured.</v>
      </c>
      <c r="S4" s="11" t="str">
        <f>IFERROR(__xludf.DUMMYFUNCTION("""COMPUTED_VALUE"""),"Mind Blast. Fills a near-sized cube extending from brain eater. DC 15 INT or 3d6 damage and paralyzed 1d4 rounds.")</f>
        <v>Mind Blast. Fills a near-sized cube extending from brain eater. DC 15 INT or 3d6 damage and paralyzed 1d4 rounds.</v>
      </c>
      <c r="T4" s="11" t="str">
        <f>IFERROR(__xludf.DUMMYFUNCTION("""COMPUTED_VALUE"""),"Mind Control. One target in near DC 15 CHA or brain eater controls for 1d4 rounds.")</f>
        <v>Mind Control. One target in near DC 15 CHA or brain eater controls for 1d4 rounds.</v>
      </c>
      <c r="U4" s="11"/>
      <c r="V4" s="11"/>
      <c r="W4" s="11"/>
      <c r="X4" s="11"/>
      <c r="Y4" s="11"/>
      <c r="Z4" s="11"/>
      <c r="AA4" s="11"/>
      <c r="AB4" s="11"/>
    </row>
    <row r="5" ht="15.75" customHeight="1">
      <c r="A5" s="11" t="str">
        <f>IFERROR(__xludf.DUMMYFUNCTION("""COMPUTED_VALUE"""),"Bulette")</f>
        <v>Bulette</v>
      </c>
      <c r="B5" s="12">
        <f>IFERROR(__xludf.DUMMYFUNCTION("""COMPUTED_VALUE"""),5.0)</f>
        <v>5</v>
      </c>
      <c r="C5" s="11" t="str">
        <f>IFERROR(__xludf.DUMMYFUNCTION("""COMPUTED_VALUE"""),"CR")</f>
        <v>CR</v>
      </c>
      <c r="D5" s="11" t="str">
        <f>IFERROR(__xludf.DUMMYFUNCTION("""COMPUTED_VALUE"""),"A hulking, shark-sized lizard with a steely, arrow-shaped carapace and a massive gullet.")</f>
        <v>A hulking, shark-sized lizard with a steely, arrow-shaped carapace and a massive gullet.</v>
      </c>
      <c r="E5" s="11">
        <f>IFERROR(__xludf.DUMMYFUNCTION("""COMPUTED_VALUE"""),17.0)</f>
        <v>17</v>
      </c>
      <c r="F5" s="11">
        <f>IFERROR(__xludf.DUMMYFUNCTION("""COMPUTED_VALUE"""),40.0)</f>
        <v>40</v>
      </c>
      <c r="G5" s="11" t="str">
        <f>IFERROR(__xludf.DUMMYFUNCTION("""COMPUTED_VALUE"""),"3 bite +5 (2d6) or 1 leap")</f>
        <v>3 bite +5 (2d6) or 1 leap</v>
      </c>
      <c r="H5" s="11" t="str">
        <f>IFERROR(__xludf.DUMMYFUNCTION("""COMPUTED_VALUE"""),"near (burrow)")</f>
        <v>near (burrow)</v>
      </c>
      <c r="I5" s="11">
        <f>IFERROR(__xludf.DUMMYFUNCTION("""COMPUTED_VALUE"""),5.0)</f>
        <v>5</v>
      </c>
      <c r="J5" s="11">
        <f>IFERROR(__xludf.DUMMYFUNCTION("""COMPUTED_VALUE"""),1.0)</f>
        <v>1</v>
      </c>
      <c r="K5" s="11">
        <f>IFERROR(__xludf.DUMMYFUNCTION("""COMPUTED_VALUE"""),4.0)</f>
        <v>4</v>
      </c>
      <c r="L5" s="11">
        <f>IFERROR(__xludf.DUMMYFUNCTION("""COMPUTED_VALUE"""),-3.0)</f>
        <v>-3</v>
      </c>
      <c r="M5" s="11">
        <f>IFERROR(__xludf.DUMMYFUNCTION("""COMPUTED_VALUE"""),1.0)</f>
        <v>1</v>
      </c>
      <c r="N5" s="11">
        <f>IFERROR(__xludf.DUMMYFUNCTION("""COMPUTED_VALUE"""),-2.0)</f>
        <v>-2</v>
      </c>
      <c r="O5" s="11" t="str">
        <f>IFERROR(__xludf.DUMMYFUNCTION("""COMPUTED_VALUE"""),"N")</f>
        <v>N</v>
      </c>
      <c r="P5" s="13">
        <f>IFERROR(__xludf.DUMMYFUNCTION("""COMPUTED_VALUE"""),8.0)</f>
        <v>8</v>
      </c>
      <c r="Q5" s="11" t="str">
        <f>IFERROR(__xludf.DUMMYFUNCTION("""COMPUTED_VALUE"""),"Leap. Jump up to near in height and double near in distance, then make 2 bite attacks.")</f>
        <v>Leap. Jump up to near in height and double near in distance, then make 2 bite attacks.</v>
      </c>
      <c r="R5" s="11"/>
      <c r="S5" s="11"/>
      <c r="T5" s="11"/>
      <c r="U5" s="11"/>
      <c r="V5" s="11"/>
      <c r="W5" s="11"/>
      <c r="X5" s="11"/>
      <c r="Y5" s="11"/>
      <c r="Z5" s="11"/>
      <c r="AA5" s="11"/>
      <c r="AB5" s="11"/>
    </row>
    <row r="6" ht="15.75" customHeight="1">
      <c r="A6" s="11" t="str">
        <f>IFERROR(__xludf.DUMMYFUNCTION("""COMPUTED_VALUE"""),"Cyclops")</f>
        <v>Cyclops</v>
      </c>
      <c r="B6" s="12">
        <f>IFERROR(__xludf.DUMMYFUNCTION("""COMPUTED_VALUE"""),6.0)</f>
        <v>6</v>
      </c>
      <c r="C6" s="11" t="str">
        <f>IFERROR(__xludf.DUMMYFUNCTION("""COMPUTED_VALUE"""),"CR")</f>
        <v>CR</v>
      </c>
      <c r="D6" s="11" t="str">
        <f>IFERROR(__xludf.DUMMYFUNCTION("""COMPUTED_VALUE"""),"Reclusive, one-eyed giants towering 20' high. They live simply on remote farmlands.")</f>
        <v>Reclusive, one-eyed giants towering 20' high. They live simply on remote farmlands.</v>
      </c>
      <c r="E6" s="11" t="str">
        <f>IFERROR(__xludf.DUMMYFUNCTION("""COMPUTED_VALUE"""),"11 (leather)")</f>
        <v>11 (leather)</v>
      </c>
      <c r="F6" s="11">
        <f>IFERROR(__xludf.DUMMYFUNCTION("""COMPUTED_VALUE"""),38.0)</f>
        <v>38</v>
      </c>
      <c r="G6" s="11" t="str">
        <f>IFERROR(__xludf.DUMMYFUNCTION("""COMPUTED_VALUE"""),"2 greatclub +7 (2d8) or 1 rock (far) +5 (1d12)")</f>
        <v>2 greatclub +7 (2d8) or 1 rock (far) +5 (1d12)</v>
      </c>
      <c r="H6" s="11" t="str">
        <f>IFERROR(__xludf.DUMMYFUNCTION("""COMPUTED_VALUE"""),"double near")</f>
        <v>double near</v>
      </c>
      <c r="I6" s="11">
        <f>IFERROR(__xludf.DUMMYFUNCTION("""COMPUTED_VALUE"""),5.0)</f>
        <v>5</v>
      </c>
      <c r="J6" s="11">
        <f>IFERROR(__xludf.DUMMYFUNCTION("""COMPUTED_VALUE"""),0.0)</f>
        <v>0</v>
      </c>
      <c r="K6" s="11">
        <f>IFERROR(__xludf.DUMMYFUNCTION("""COMPUTED_VALUE"""),2.0)</f>
        <v>2</v>
      </c>
      <c r="L6" s="11">
        <f>IFERROR(__xludf.DUMMYFUNCTION("""COMPUTED_VALUE"""),-1.0)</f>
        <v>-1</v>
      </c>
      <c r="M6" s="11">
        <f>IFERROR(__xludf.DUMMYFUNCTION("""COMPUTED_VALUE"""),-2.0)</f>
        <v>-2</v>
      </c>
      <c r="N6" s="11">
        <f>IFERROR(__xludf.DUMMYFUNCTION("""COMPUTED_VALUE"""),0.0)</f>
        <v>0</v>
      </c>
      <c r="O6" s="11" t="str">
        <f>IFERROR(__xludf.DUMMYFUNCTION("""COMPUTED_VALUE"""),"C")</f>
        <v>C</v>
      </c>
      <c r="P6" s="13">
        <f>IFERROR(__xludf.DUMMYFUNCTION("""COMPUTED_VALUE"""),8.0)</f>
        <v>8</v>
      </c>
      <c r="Q6" s="11"/>
      <c r="R6" s="11"/>
      <c r="S6" s="11"/>
      <c r="T6" s="11"/>
      <c r="U6" s="11"/>
      <c r="V6" s="11"/>
      <c r="W6" s="11"/>
      <c r="X6" s="11"/>
      <c r="Y6" s="11"/>
      <c r="Z6" s="11"/>
      <c r="AA6" s="11"/>
      <c r="AB6" s="11"/>
    </row>
    <row r="7" ht="15.75" customHeight="1">
      <c r="A7" s="11" t="str">
        <f>IFERROR(__xludf.DUMMYFUNCTION("""COMPUTED_VALUE"""),"Demon, Glabrezu")</f>
        <v>Demon, Glabrezu</v>
      </c>
      <c r="B7" s="12">
        <f>IFERROR(__xludf.DUMMYFUNCTION("""COMPUTED_VALUE"""),9.0)</f>
        <v>9</v>
      </c>
      <c r="C7" s="11" t="str">
        <f>IFERROR(__xludf.DUMMYFUNCTION("""COMPUTED_VALUE"""),"CR")</f>
        <v>CR</v>
      </c>
      <c r="D7" s="11" t="str">
        <f>IFERROR(__xludf.DUMMYFUNCTION("""COMPUTED_VALUE"""),"Horse-headed, fanged creatures
who walk upright and have four
arms; two shriveled, and two
ending in hulking pincers. ")</f>
        <v>Horse-headed, fanged creatures
who walk upright and have four
arms; two shriveled, and two
ending in hulking pincers. </v>
      </c>
      <c r="E7" s="11">
        <f>IFERROR(__xludf.DUMMYFUNCTION("""COMPUTED_VALUE"""),15.0)</f>
        <v>15</v>
      </c>
      <c r="F7" s="11">
        <f>IFERROR(__xludf.DUMMYFUNCTION("""COMPUTED_VALUE"""),40.0)</f>
        <v>40</v>
      </c>
      <c r="G7" s="11" t="str">
        <f>IFERROR(__xludf.DUMMYFUNCTION("""COMPUTED_VALUE"""),"2 pincer +7 (2d8 + crush)")</f>
        <v>2 pincer +7 (2d8 + crush)</v>
      </c>
      <c r="H7" s="11" t="str">
        <f>IFERROR(__xludf.DUMMYFUNCTION("""COMPUTED_VALUE"""),"near")</f>
        <v>near</v>
      </c>
      <c r="I7" s="11">
        <f>IFERROR(__xludf.DUMMYFUNCTION("""COMPUTED_VALUE"""),4.0)</f>
        <v>4</v>
      </c>
      <c r="J7" s="11">
        <f>IFERROR(__xludf.DUMMYFUNCTION("""COMPUTED_VALUE"""),1.0)</f>
        <v>1</v>
      </c>
      <c r="K7" s="11">
        <f>IFERROR(__xludf.DUMMYFUNCTION("""COMPUTED_VALUE"""),4.0)</f>
        <v>4</v>
      </c>
      <c r="L7" s="11">
        <f>IFERROR(__xludf.DUMMYFUNCTION("""COMPUTED_VALUE"""),3.0)</f>
        <v>3</v>
      </c>
      <c r="M7" s="11">
        <f>IFERROR(__xludf.DUMMYFUNCTION("""COMPUTED_VALUE"""),2.0)</f>
        <v>2</v>
      </c>
      <c r="N7" s="11">
        <f>IFERROR(__xludf.DUMMYFUNCTION("""COMPUTED_VALUE"""),2.0)</f>
        <v>2</v>
      </c>
      <c r="O7" s="11" t="str">
        <f>IFERROR(__xludf.DUMMYFUNCTION("""COMPUTED_VALUE"""),"C")</f>
        <v>C</v>
      </c>
      <c r="P7" s="13">
        <f>IFERROR(__xludf.DUMMYFUNCTION("""COMPUTED_VALUE"""),8.0)</f>
        <v>8</v>
      </c>
      <c r="Q7" s="11" t="str">
        <f>IFERROR(__xludf.DUMMYFUNCTION("""COMPUTED_VALUE"""),"Crush. DC 15 STR or target takes
2d8 damage.")</f>
        <v>Crush. DC 15 STR or target takes
2d8 damage.</v>
      </c>
      <c r="R7" s="11"/>
      <c r="S7" s="11"/>
      <c r="T7" s="11"/>
      <c r="U7" s="11"/>
      <c r="V7" s="11"/>
      <c r="W7" s="11"/>
      <c r="X7" s="11"/>
      <c r="Y7" s="11"/>
      <c r="Z7" s="11"/>
      <c r="AA7" s="11"/>
      <c r="AB7" s="11"/>
    </row>
    <row r="8" ht="15.75" customHeight="1">
      <c r="A8" s="11" t="str">
        <f>IFERROR(__xludf.DUMMYFUNCTION("""COMPUTED_VALUE"""),"Giant, Goat")</f>
        <v>Giant, Goat</v>
      </c>
      <c r="B8" s="12"/>
      <c r="C8" s="11" t="str">
        <f>IFERROR(__xludf.DUMMYFUNCTION("""COMPUTED_VALUE"""),"CR")</f>
        <v>CR</v>
      </c>
      <c r="D8" s="11" t="str">
        <f>IFERROR(__xludf.DUMMYFUNCTION("""COMPUTED_VALUE"""),"Highland-dwelling, barbaric giants with goatlike legs, horns, and horizontal pupils.")</f>
        <v>Highland-dwelling, barbaric giants with goatlike legs, horns, and horizontal pupils.</v>
      </c>
      <c r="E8" s="11">
        <f>IFERROR(__xludf.DUMMYFUNCTION("""COMPUTED_VALUE"""),12.0)</f>
        <v>12</v>
      </c>
      <c r="F8" s="11">
        <f>IFERROR(__xludf.DUMMYFUNCTION("""COMPUTED_VALUE"""),39.0)</f>
        <v>39</v>
      </c>
      <c r="G8" s="11" t="str">
        <f>IFERROR(__xludf.DUMMYFUNCTION("""COMPUTED_VALUE"""),"2 greatclub +7 (2d8)")</f>
        <v>2 greatclub +7 (2d8)</v>
      </c>
      <c r="H8" s="11" t="str">
        <f>IFERROR(__xludf.DUMMYFUNCTION("""COMPUTED_VALUE"""),"double near (climb)")</f>
        <v>double near (climb)</v>
      </c>
      <c r="I8" s="11">
        <f>IFERROR(__xludf.DUMMYFUNCTION("""COMPUTED_VALUE"""),4.0)</f>
        <v>4</v>
      </c>
      <c r="J8" s="11">
        <f>IFERROR(__xludf.DUMMYFUNCTION("""COMPUTED_VALUE"""),1.0)</f>
        <v>1</v>
      </c>
      <c r="K8" s="11">
        <f>IFERROR(__xludf.DUMMYFUNCTION("""COMPUTED_VALUE"""),3.0)</f>
        <v>3</v>
      </c>
      <c r="L8" s="11">
        <f>IFERROR(__xludf.DUMMYFUNCTION("""COMPUTED_VALUE"""),-2.0)</f>
        <v>-2</v>
      </c>
      <c r="M8" s="11">
        <f>IFERROR(__xludf.DUMMYFUNCTION("""COMPUTED_VALUE"""),0.0)</f>
        <v>0</v>
      </c>
      <c r="N8" s="11">
        <f>IFERROR(__xludf.DUMMYFUNCTION("""COMPUTED_VALUE"""),-2.0)</f>
        <v>-2</v>
      </c>
      <c r="O8" s="11" t="str">
        <f>IFERROR(__xludf.DUMMYFUNCTION("""COMPUTED_VALUE"""),"C")</f>
        <v>C</v>
      </c>
      <c r="P8" s="13">
        <f>IFERROR(__xludf.DUMMYFUNCTION("""COMPUTED_VALUE"""),8.0)</f>
        <v>8</v>
      </c>
      <c r="Q8" s="11"/>
      <c r="R8" s="11"/>
      <c r="S8" s="11"/>
      <c r="T8" s="11"/>
      <c r="U8" s="11"/>
      <c r="V8" s="11"/>
      <c r="W8" s="11"/>
      <c r="X8" s="11"/>
      <c r="Y8" s="11"/>
      <c r="Z8" s="11"/>
      <c r="AA8" s="11"/>
      <c r="AB8" s="11"/>
    </row>
    <row r="9" ht="15.75" customHeight="1">
      <c r="A9" s="11" t="str">
        <f>IFERROR(__xludf.DUMMYFUNCTION("""COMPUTED_VALUE"""),"Giant, Stone")</f>
        <v>Giant, Stone</v>
      </c>
      <c r="B9" s="12">
        <f>IFERROR(__xludf.DUMMYFUNCTION("""COMPUTED_VALUE"""),7.0)</f>
        <v>7</v>
      </c>
      <c r="C9" s="11" t="str">
        <f>IFERROR(__xludf.DUMMYFUNCTION("""COMPUTED_VALUE"""),"CR")</f>
        <v>CR</v>
      </c>
      <c r="D9" s="11" t="str">
        <f>IFERROR(__xludf.DUMMYFUNCTION("""COMPUTED_VALUE"""),"Lean, sinewy giants with stony skin and deep-set eyes. They are quiet and poised, often sitting motionless.")</f>
        <v>Lean, sinewy giants with stony skin and deep-set eyes. They are quiet and poised, often sitting motionless.</v>
      </c>
      <c r="E9" s="11">
        <f>IFERROR(__xludf.DUMMYFUNCTION("""COMPUTED_VALUE"""),17.0)</f>
        <v>17</v>
      </c>
      <c r="F9" s="11">
        <f>IFERROR(__xludf.DUMMYFUNCTION("""COMPUTED_VALUE"""),40.0)</f>
        <v>40</v>
      </c>
      <c r="G9" s="11" t="str">
        <f>IFERROR(__xludf.DUMMYFUNCTION("""COMPUTED_VALUE"""),"2 greatclub +7 (2d8)")</f>
        <v>2 greatclub +7 (2d8)</v>
      </c>
      <c r="H9" s="11" t="str">
        <f>IFERROR(__xludf.DUMMYFUNCTION("""COMPUTED_VALUE"""),"double near")</f>
        <v>double near</v>
      </c>
      <c r="I9" s="11">
        <f>IFERROR(__xludf.DUMMYFUNCTION("""COMPUTED_VALUE"""),4.0)</f>
        <v>4</v>
      </c>
      <c r="J9" s="11">
        <f>IFERROR(__xludf.DUMMYFUNCTION("""COMPUTED_VALUE"""),2.0)</f>
        <v>2</v>
      </c>
      <c r="K9" s="11">
        <f>IFERROR(__xludf.DUMMYFUNCTION("""COMPUTED_VALUE"""),4.0)</f>
        <v>4</v>
      </c>
      <c r="L9" s="11">
        <f>IFERROR(__xludf.DUMMYFUNCTION("""COMPUTED_VALUE"""),1.0)</f>
        <v>1</v>
      </c>
      <c r="M9" s="11">
        <f>IFERROR(__xludf.DUMMYFUNCTION("""COMPUTED_VALUE"""),1.0)</f>
        <v>1</v>
      </c>
      <c r="N9" s="11">
        <f>IFERROR(__xludf.DUMMYFUNCTION("""COMPUTED_VALUE"""),-1.0)</f>
        <v>-1</v>
      </c>
      <c r="O9" s="11" t="str">
        <f>IFERROR(__xludf.DUMMYFUNCTION("""COMPUTED_VALUE"""),"N")</f>
        <v>N</v>
      </c>
      <c r="P9" s="13">
        <f>IFERROR(__xludf.DUMMYFUNCTION("""COMPUTED_VALUE"""),8.0)</f>
        <v>8</v>
      </c>
      <c r="Q9" s="11" t="str">
        <f>IFERROR(__xludf.DUMMYFUNCTION("""COMPUTED_VALUE"""),"Stone Hide. Half damage from stabbing and cutting weapons.")</f>
        <v>Stone Hide. Half damage from stabbing and cutting weapons.</v>
      </c>
      <c r="R9" s="11"/>
      <c r="S9" s="11"/>
      <c r="T9" s="11"/>
      <c r="U9" s="11"/>
      <c r="V9" s="11"/>
      <c r="W9" s="11"/>
      <c r="X9" s="11"/>
      <c r="Y9" s="11"/>
      <c r="Z9" s="11"/>
      <c r="AA9" s="11"/>
      <c r="AB9" s="11"/>
    </row>
    <row r="10" ht="15.75" customHeight="1">
      <c r="A10" s="11" t="str">
        <f>IFERROR(__xludf.DUMMYFUNCTION("""COMPUTED_VALUE"""),"Golem, Clay")</f>
        <v>Golem, Clay</v>
      </c>
      <c r="B10" s="12">
        <f>IFERROR(__xludf.DUMMYFUNCTION("""COMPUTED_VALUE"""),9.0)</f>
        <v>9</v>
      </c>
      <c r="C10" s="11" t="str">
        <f>IFERROR(__xludf.DUMMYFUNCTION("""COMPUTED_VALUE"""),"CR")</f>
        <v>CR</v>
      </c>
      <c r="D10" s="11" t="str">
        <f>IFERROR(__xludf.DUMMYFUNCTION("""COMPUTED_VALUE"""),"A towering, faceless humanoid shaped from glistening clay")</f>
        <v>A towering, faceless humanoid shaped from glistening clay</v>
      </c>
      <c r="E10" s="11">
        <f>IFERROR(__xludf.DUMMYFUNCTION("""COMPUTED_VALUE"""),14.0)</f>
        <v>14</v>
      </c>
      <c r="F10" s="11">
        <f>IFERROR(__xludf.DUMMYFUNCTION("""COMPUTED_VALUE"""),40.0)</f>
        <v>40</v>
      </c>
      <c r="G10" s="11" t="str">
        <f>IFERROR(__xludf.DUMMYFUNCTION("""COMPUTED_VALUE"""),"3 slam +6 (1d8)")</f>
        <v>3 slam +6 (1d8)</v>
      </c>
      <c r="H10" s="11" t="str">
        <f>IFERROR(__xludf.DUMMYFUNCTION("""COMPUTED_VALUE"""),"near")</f>
        <v>near</v>
      </c>
      <c r="I10" s="11">
        <f>IFERROR(__xludf.DUMMYFUNCTION("""COMPUTED_VALUE"""),4.0)</f>
        <v>4</v>
      </c>
      <c r="J10" s="11">
        <f>IFERROR(__xludf.DUMMYFUNCTION("""COMPUTED_VALUE"""),0.0)</f>
        <v>0</v>
      </c>
      <c r="K10" s="11">
        <f>IFERROR(__xludf.DUMMYFUNCTION("""COMPUTED_VALUE"""),4.0)</f>
        <v>4</v>
      </c>
      <c r="L10" s="11">
        <f>IFERROR(__xludf.DUMMYFUNCTION("""COMPUTED_VALUE"""),-2.0)</f>
        <v>-2</v>
      </c>
      <c r="M10" s="11">
        <f>IFERROR(__xludf.DUMMYFUNCTION("""COMPUTED_VALUE"""),0.0)</f>
        <v>0</v>
      </c>
      <c r="N10" s="11">
        <f>IFERROR(__xludf.DUMMYFUNCTION("""COMPUTED_VALUE"""),-2.0)</f>
        <v>-2</v>
      </c>
      <c r="O10" s="11" t="str">
        <f>IFERROR(__xludf.DUMMYFUNCTION("""COMPUTED_VALUE"""),"N")</f>
        <v>N</v>
      </c>
      <c r="P10" s="13">
        <f>IFERROR(__xludf.DUMMYFUNCTION("""COMPUTED_VALUE"""),8.0)</f>
        <v>8</v>
      </c>
      <c r="Q10" s="11" t="str">
        <f>IFERROR(__xludf.DUMMYFUNCTION("""COMPUTED_VALUE"""),"Golem. Immune to damage from fire, cold, electricity, or non-magical sources. Healed by acid.")</f>
        <v>Golem. Immune to damage from fire, cold, electricity, or non-magical sources. Healed by acid.</v>
      </c>
      <c r="R10" s="11" t="str">
        <f>IFERROR(__xludf.DUMMYFUNCTION("""COMPUTED_VALUE"""),"Curse. Slam damage can only be healed by level 5+ priest.")</f>
        <v>Curse. Slam damage can only be healed by level 5+ priest.</v>
      </c>
      <c r="S10" s="11"/>
      <c r="T10" s="11"/>
      <c r="U10" s="11"/>
      <c r="V10" s="11"/>
      <c r="W10" s="11"/>
      <c r="X10" s="11"/>
      <c r="Y10" s="11"/>
      <c r="Z10" s="11"/>
      <c r="AA10" s="11"/>
      <c r="AB10" s="11"/>
    </row>
    <row r="11" ht="15.75" customHeight="1">
      <c r="A11" s="11" t="str">
        <f>IFERROR(__xludf.DUMMYFUNCTION("""COMPUTED_VALUE"""),"Golem, Stone")</f>
        <v>Golem, Stone</v>
      </c>
      <c r="B11" s="12">
        <f>IFERROR(__xludf.DUMMYFUNCTION("""COMPUTED_VALUE"""),10.0)</f>
        <v>10</v>
      </c>
      <c r="C11" s="11" t="str">
        <f>IFERROR(__xludf.DUMMYFUNCTION("""COMPUTED_VALUE"""),"CR")</f>
        <v>CR</v>
      </c>
      <c r="D11" s="11" t="str">
        <f>IFERROR(__xludf.DUMMYFUNCTION("""COMPUTED_VALUE"""),"A wide-limbed, lumbering statue that shakes the ground.")</f>
        <v>A wide-limbed, lumbering statue that shakes the ground.</v>
      </c>
      <c r="E11" s="11">
        <f>IFERROR(__xludf.DUMMYFUNCTION("""COMPUTED_VALUE"""),18.0)</f>
        <v>18</v>
      </c>
      <c r="F11" s="11">
        <f>IFERROR(__xludf.DUMMYFUNCTION("""COMPUTED_VALUE"""),40.0)</f>
        <v>40</v>
      </c>
      <c r="G11" s="11" t="str">
        <f>IFERROR(__xludf.DUMMYFUNCTION("""COMPUTED_VALUE"""),"3 slam +6 (1d10)")</f>
        <v>3 slam +6 (1d10)</v>
      </c>
      <c r="H11" s="11" t="str">
        <f>IFERROR(__xludf.DUMMYFUNCTION("""COMPUTED_VALUE"""),"near")</f>
        <v>near</v>
      </c>
      <c r="I11" s="11">
        <f>IFERROR(__xludf.DUMMYFUNCTION("""COMPUTED_VALUE"""),4.0)</f>
        <v>4</v>
      </c>
      <c r="J11" s="11">
        <f>IFERROR(__xludf.DUMMYFUNCTION("""COMPUTED_VALUE"""),-1.0)</f>
        <v>-1</v>
      </c>
      <c r="K11" s="11">
        <f>IFERROR(__xludf.DUMMYFUNCTION("""COMPUTED_VALUE"""),4.0)</f>
        <v>4</v>
      </c>
      <c r="L11" s="11">
        <f>IFERROR(__xludf.DUMMYFUNCTION("""COMPUTED_VALUE"""),-2.0)</f>
        <v>-2</v>
      </c>
      <c r="M11" s="11">
        <f>IFERROR(__xludf.DUMMYFUNCTION("""COMPUTED_VALUE"""),0.0)</f>
        <v>0</v>
      </c>
      <c r="N11" s="11">
        <f>IFERROR(__xludf.DUMMYFUNCTION("""COMPUTED_VALUE"""),-2.0)</f>
        <v>-2</v>
      </c>
      <c r="O11" s="11" t="str">
        <f>IFERROR(__xludf.DUMMYFUNCTION("""COMPUTED_VALUE"""),"N")</f>
        <v>N</v>
      </c>
      <c r="P11" s="13">
        <f>IFERROR(__xludf.DUMMYFUNCTION("""COMPUTED_VALUE"""),8.0)</f>
        <v>8</v>
      </c>
      <c r="Q11" s="11" t="str">
        <f>IFERROR(__xludf.DUMMYFUNCTION("""COMPUTED_VALUE"""),"Golem. Immune to damage from fire, cold, electricity, or non-magical sources.")</f>
        <v>Golem. Immune to damage from fire, cold, electricity, or non-magical sources.</v>
      </c>
      <c r="R11" s="11" t="str">
        <f>IFERROR(__xludf.DUMMYFUNCTION("""COMPUTED_VALUE"""),"Slow. Far range, one target. DC 15 CON or speed halved 1d4 rds.")</f>
        <v>Slow. Far range, one target. DC 15 CON or speed halved 1d4 rds.</v>
      </c>
      <c r="S11" s="11"/>
      <c r="T11" s="11"/>
      <c r="U11" s="11"/>
      <c r="V11" s="11"/>
      <c r="W11" s="11"/>
      <c r="X11" s="11"/>
      <c r="Y11" s="11"/>
      <c r="Z11" s="11"/>
      <c r="AA11" s="11"/>
      <c r="AB11" s="11"/>
    </row>
    <row r="12" ht="15.75" customHeight="1">
      <c r="A12" s="11" t="str">
        <f>IFERROR(__xludf.DUMMYFUNCTION("""COMPUTED_VALUE"""),"Hag, Night")</f>
        <v>Hag, Night</v>
      </c>
      <c r="B12" s="12">
        <f>IFERROR(__xludf.DUMMYFUNCTION("""COMPUTED_VALUE"""),5.0)</f>
        <v>5</v>
      </c>
      <c r="C12" s="11" t="str">
        <f>IFERROR(__xludf.DUMMYFUNCTION("""COMPUTED_VALUE"""),"CR")</f>
        <v>CR</v>
      </c>
      <c r="D12" s="11" t="str">
        <f>IFERROR(__xludf.DUMMYFUNCTION("""COMPUTED_VALUE"""),"A purple-skinned, stooped woman with stringy, white hair and a mouth full of iron teeth.")</f>
        <v>A purple-skinned, stooped woman with stringy, white hair and a mouth full of iron teeth.</v>
      </c>
      <c r="E12" s="11">
        <f>IFERROR(__xludf.DUMMYFUNCTION("""COMPUTED_VALUE"""),14.0)</f>
        <v>14</v>
      </c>
      <c r="F12" s="11">
        <f>IFERROR(__xludf.DUMMYFUNCTION("""COMPUTED_VALUE"""),37.0)</f>
        <v>37</v>
      </c>
      <c r="G12" s="11" t="str">
        <f>IFERROR(__xludf.DUMMYFUNCTION("""COMPUTED_VALUE"""),"2 bite +6 (1d10) and 1 blind")</f>
        <v>2 bite +6 (1d10) and 1 blind</v>
      </c>
      <c r="H12" s="11" t="str">
        <f>IFERROR(__xludf.DUMMYFUNCTION("""COMPUTED_VALUE"""),"near")</f>
        <v>near</v>
      </c>
      <c r="I12" s="11">
        <f>IFERROR(__xludf.DUMMYFUNCTION("""COMPUTED_VALUE"""),4.0)</f>
        <v>4</v>
      </c>
      <c r="J12" s="11">
        <f>IFERROR(__xludf.DUMMYFUNCTION("""COMPUTED_VALUE"""),2.0)</f>
        <v>2</v>
      </c>
      <c r="K12" s="11">
        <f>IFERROR(__xludf.DUMMYFUNCTION("""COMPUTED_VALUE"""),1.0)</f>
        <v>1</v>
      </c>
      <c r="L12" s="11">
        <f>IFERROR(__xludf.DUMMYFUNCTION("""COMPUTED_VALUE"""),2.0)</f>
        <v>2</v>
      </c>
      <c r="M12" s="11">
        <f>IFERROR(__xludf.DUMMYFUNCTION("""COMPUTED_VALUE"""),3.0)</f>
        <v>3</v>
      </c>
      <c r="N12" s="11">
        <f>IFERROR(__xludf.DUMMYFUNCTION("""COMPUTED_VALUE"""),3.0)</f>
        <v>3</v>
      </c>
      <c r="O12" s="11" t="str">
        <f>IFERROR(__xludf.DUMMYFUNCTION("""COMPUTED_VALUE"""),"C")</f>
        <v>C</v>
      </c>
      <c r="P12" s="13">
        <f>IFERROR(__xludf.DUMMYFUNCTION("""COMPUTED_VALUE"""),8.0)</f>
        <v>8</v>
      </c>
      <c r="Q12" s="11" t="str">
        <f>IFERROR(__xludf.DUMMYFUNCTION("""COMPUTED_VALUE"""),"Blind. One target within near DC 15 CHA or blinded for 1d4 days.")</f>
        <v>Blind. One target within near DC 15 CHA or blinded for 1d4 days.</v>
      </c>
      <c r="R12" s="11" t="str">
        <f>IFERROR(__xludf.DUMMYFUNCTION("""COMPUTED_VALUE"""),"Shapechange. Instantly change to look like any other humanoid.")</f>
        <v>Shapechange. Instantly change to look like any other humanoid.</v>
      </c>
      <c r="S12" s="11"/>
      <c r="T12" s="11"/>
      <c r="U12" s="11"/>
      <c r="V12" s="11"/>
      <c r="W12" s="11"/>
      <c r="X12" s="11"/>
      <c r="Y12" s="11"/>
      <c r="Z12" s="11"/>
      <c r="AA12" s="11"/>
      <c r="AB12" s="11"/>
    </row>
    <row r="13" ht="15.75" customHeight="1">
      <c r="A13" s="11" t="str">
        <f>IFERROR(__xludf.DUMMYFUNCTION("""COMPUTED_VALUE"""),"Manta Ray, Giant")</f>
        <v>Manta Ray, Giant</v>
      </c>
      <c r="B13" s="12" t="str">
        <f>IFERROR(__xludf.DUMMYFUNCTION("""COMPUTED_VALUE"""),"")</f>
        <v/>
      </c>
      <c r="C13" s="11" t="str">
        <f>IFERROR(__xludf.DUMMYFUNCTION("""COMPUTED_VALUE"""),"CR")</f>
        <v>CR</v>
      </c>
      <c r="D13" s="11" t="str">
        <f>IFERROR(__xludf.DUMMYFUNCTION("""COMPUTED_VALUE"""),"Swooping manta rays as large")</f>
        <v>Swooping manta rays as large</v>
      </c>
      <c r="E13" s="11">
        <f>IFERROR(__xludf.DUMMYFUNCTION("""COMPUTED_VALUE"""),13.0)</f>
        <v>13</v>
      </c>
      <c r="F13" s="11">
        <f>IFERROR(__xludf.DUMMYFUNCTION("""COMPUTED_VALUE"""),37.0)</f>
        <v>37</v>
      </c>
      <c r="G13" s="11" t="str">
        <f>IFERROR(__xludf.DUMMYFUNCTION("""COMPUTED_VALUE"""),"2 sting +5")</f>
        <v>2 sting +5</v>
      </c>
      <c r="H13" s="11" t="str">
        <f>IFERROR(__xludf.DUMMYFUNCTION("""COMPUTED_VALUE"""),"double near (swim)")</f>
        <v>double near (swim)</v>
      </c>
      <c r="I13" s="11">
        <f>IFERROR(__xludf.DUMMYFUNCTION("""COMPUTED_VALUE"""),3.0)</f>
        <v>3</v>
      </c>
      <c r="J13" s="11">
        <f>IFERROR(__xludf.DUMMYFUNCTION("""COMPUTED_VALUE"""),3.0)</f>
        <v>3</v>
      </c>
      <c r="K13" s="11">
        <f>IFERROR(__xludf.DUMMYFUNCTION("""COMPUTED_VALUE"""),1.0)</f>
        <v>1</v>
      </c>
      <c r="L13" s="11">
        <f>IFERROR(__xludf.DUMMYFUNCTION("""COMPUTED_VALUE"""),-2.0)</f>
        <v>-2</v>
      </c>
      <c r="M13" s="11">
        <f>IFERROR(__xludf.DUMMYFUNCTION("""COMPUTED_VALUE"""),1.0)</f>
        <v>1</v>
      </c>
      <c r="N13" s="11">
        <f>IFERROR(__xludf.DUMMYFUNCTION("""COMPUTED_VALUE"""),-3.0)</f>
        <v>-3</v>
      </c>
      <c r="O13" s="11" t="str">
        <f>IFERROR(__xludf.DUMMYFUNCTION("""COMPUTED_VALUE"""),"N")</f>
        <v>N</v>
      </c>
      <c r="P13" s="13">
        <f>IFERROR(__xludf.DUMMYFUNCTION("""COMPUTED_VALUE"""),8.0)</f>
        <v>8</v>
      </c>
      <c r="Q13" s="14" t="str">
        <f>IFERROR(__xludf.DUMMYFUNCTION("""COMPUTED_VALUE"""),"Poison. DC 15 CON or drop to 0 hit points in 1d4 rounds.")</f>
        <v>Poison. DC 15 CON or drop to 0 hit points in 1d4 rounds.</v>
      </c>
      <c r="R13" s="14"/>
      <c r="S13" s="14"/>
      <c r="T13" s="14"/>
      <c r="U13" s="14"/>
      <c r="V13" s="14"/>
      <c r="W13" s="11"/>
      <c r="X13" s="11"/>
      <c r="Y13" s="11"/>
      <c r="Z13" s="11"/>
      <c r="AA13" s="11"/>
      <c r="AB13" s="11"/>
    </row>
    <row r="14" ht="15.75" customHeight="1">
      <c r="A14" s="11" t="str">
        <f>IFERROR(__xludf.DUMMYFUNCTION("""COMPUTED_VALUE"""),"Medusa")</f>
        <v>Medusa</v>
      </c>
      <c r="B14" s="12">
        <f>IFERROR(__xludf.DUMMYFUNCTION("""COMPUTED_VALUE"""),6.0)</f>
        <v>6</v>
      </c>
      <c r="C14" s="11" t="str">
        <f>IFERROR(__xludf.DUMMYFUNCTION("""COMPUTED_VALUE"""),"CR")</f>
        <v>CR</v>
      </c>
      <c r="D14" s="11" t="str">
        <f>IFERROR(__xludf.DUMMYFUNCTION("""COMPUTED_VALUE"""),"Immortal women with coiling")</f>
        <v>Immortal women with coiling</v>
      </c>
      <c r="E14" s="11">
        <f>IFERROR(__xludf.DUMMYFUNCTION("""COMPUTED_VALUE"""),14.0)</f>
        <v>14</v>
      </c>
      <c r="F14" s="11">
        <f>IFERROR(__xludf.DUMMYFUNCTION("""COMPUTED_VALUE"""),38.0)</f>
        <v>38</v>
      </c>
      <c r="G14" s="11" t="str">
        <f>IFERROR(__xludf.DUMMYFUNCTION("""COMPUTED_VALUE"""),"1 snake bite +6 (1d6 + poison)")</f>
        <v>1 snake bite +6 (1d6 + poison)</v>
      </c>
      <c r="H14" s="11" t="str">
        <f>IFERROR(__xludf.DUMMYFUNCTION("""COMPUTED_VALUE"""),"near")</f>
        <v>near</v>
      </c>
      <c r="I14" s="11">
        <f>IFERROR(__xludf.DUMMYFUNCTION("""COMPUTED_VALUE"""),2.0)</f>
        <v>2</v>
      </c>
      <c r="J14" s="11">
        <f>IFERROR(__xludf.DUMMYFUNCTION("""COMPUTED_VALUE"""),1.0)</f>
        <v>1</v>
      </c>
      <c r="K14" s="11">
        <f>IFERROR(__xludf.DUMMYFUNCTION("""COMPUTED_VALUE"""),2.0)</f>
        <v>2</v>
      </c>
      <c r="L14" s="11">
        <f>IFERROR(__xludf.DUMMYFUNCTION("""COMPUTED_VALUE"""),2.0)</f>
        <v>2</v>
      </c>
      <c r="M14" s="11">
        <f>IFERROR(__xludf.DUMMYFUNCTION("""COMPUTED_VALUE"""),3.0)</f>
        <v>3</v>
      </c>
      <c r="N14" s="11">
        <f>IFERROR(__xludf.DUMMYFUNCTION("""COMPUTED_VALUE"""),4.0)</f>
        <v>4</v>
      </c>
      <c r="O14" s="11" t="str">
        <f>IFERROR(__xludf.DUMMYFUNCTION("""COMPUTED_VALUE"""),"C")</f>
        <v>C</v>
      </c>
      <c r="P14" s="13">
        <f>IFERROR(__xludf.DUMMYFUNCTION("""COMPUTED_VALUE"""),8.0)</f>
        <v>8</v>
      </c>
      <c r="Q14" s="11" t="str">
        <f>IFERROR(__xludf.DUMMYFUNCTION("""COMPUTED_VALUE"""),"Godborn. Hostile spells targeting the medusa are DC 15 to cast.")</f>
        <v>Godborn. Hostile spells targeting the medusa are DC 15 to cast.</v>
      </c>
      <c r="R14" s="11" t="str">
        <f>IFERROR(__xludf.DUMMYFUNCTION("""COMPUTED_VALUE"""),"Petrify. Any creature (including medusa) who looks directly at medusa, DC 15 CON or petrified.")</f>
        <v>Petrify. Any creature (including medusa) who looks directly at medusa, DC 15 CON or petrified.</v>
      </c>
      <c r="S14" s="11" t="str">
        <f>IFERROR(__xludf.DUMMYFUNCTION("""COMPUTED_VALUE"""),"Poison. DC 15 CON or go to 0 HP.")</f>
        <v>Poison. DC 15 CON or go to 0 HP.</v>
      </c>
      <c r="T14" s="11"/>
      <c r="U14" s="11"/>
      <c r="V14" s="11"/>
      <c r="W14" s="11"/>
      <c r="X14" s="11"/>
      <c r="Y14" s="11"/>
      <c r="Z14" s="11"/>
      <c r="AA14" s="11"/>
      <c r="AB14" s="11"/>
    </row>
    <row r="15" ht="15.75" customHeight="1">
      <c r="A15" s="11" t="str">
        <f>IFERROR(__xludf.DUMMYFUNCTION("""COMPUTED_VALUE"""),"Rakshasa")</f>
        <v>Rakshasa</v>
      </c>
      <c r="B15" s="12" t="str">
        <f>IFERROR(__xludf.DUMMYFUNCTION("""COMPUTED_VALUE"""),"")</f>
        <v/>
      </c>
      <c r="C15" s="11" t="str">
        <f>IFERROR(__xludf.DUMMYFUNCTION("""COMPUTED_VALUE"""),"CR")</f>
        <v>CR</v>
      </c>
      <c r="D15" s="11" t="str">
        <f>IFERROR(__xludf.DUMMYFUNCTION("""COMPUTED_VALUE"""),"Demonic illusionists whose true form is of a humanlike great cat with backwards hands.")</f>
        <v>Demonic illusionists whose true form is of a humanlike great cat with backwards hands.</v>
      </c>
      <c r="E15" s="11">
        <f>IFERROR(__xludf.DUMMYFUNCTION("""COMPUTED_VALUE"""),16.0)</f>
        <v>16</v>
      </c>
      <c r="F15" s="11">
        <f>IFERROR(__xludf.DUMMYFUNCTION("""COMPUTED_VALUE"""),39.0)</f>
        <v>39</v>
      </c>
      <c r="G15" s="11" t="str">
        <f>IFERROR(__xludf.DUMMYFUNCTION("""COMPUTED_VALUE"""),"2 claw +6 (1d8)")</f>
        <v>2 claw +6 (1d8)</v>
      </c>
      <c r="H15" s="11" t="str">
        <f>IFERROR(__xludf.DUMMYFUNCTION("""COMPUTED_VALUE"""),"near")</f>
        <v>near</v>
      </c>
      <c r="I15" s="11">
        <f>IFERROR(__xludf.DUMMYFUNCTION("""COMPUTED_VALUE"""),1.0)</f>
        <v>1</v>
      </c>
      <c r="J15" s="11">
        <f>IFERROR(__xludf.DUMMYFUNCTION("""COMPUTED_VALUE"""),3.0)</f>
        <v>3</v>
      </c>
      <c r="K15" s="11">
        <f>IFERROR(__xludf.DUMMYFUNCTION("""COMPUTED_VALUE"""),3.0)</f>
        <v>3</v>
      </c>
      <c r="L15" s="11">
        <f>IFERROR(__xludf.DUMMYFUNCTION("""COMPUTED_VALUE"""),3.0)</f>
        <v>3</v>
      </c>
      <c r="M15" s="11">
        <f>IFERROR(__xludf.DUMMYFUNCTION("""COMPUTED_VALUE"""),3.0)</f>
        <v>3</v>
      </c>
      <c r="N15" s="11">
        <f>IFERROR(__xludf.DUMMYFUNCTION("""COMPUTED_VALUE"""),4.0)</f>
        <v>4</v>
      </c>
      <c r="O15" s="11" t="str">
        <f>IFERROR(__xludf.DUMMYFUNCTION("""COMPUTED_VALUE"""),"C")</f>
        <v>C</v>
      </c>
      <c r="P15" s="13">
        <f>IFERROR(__xludf.DUMMYFUNCTION("""COMPUTED_VALUE"""),8.0)</f>
        <v>8</v>
      </c>
      <c r="Q15" s="11" t="str">
        <f>IFERROR(__xludf.DUMMYFUNCTION("""COMPUTED_VALUE"""),"Impervious. Only damaged by magical sources. Immune to hostile spells of 3rd tier or lower.")</f>
        <v>Impervious. Only damaged by magical sources. Immune to hostile spells of 3rd tier or lower.</v>
      </c>
      <c r="R15" s="11" t="str">
        <f>IFERROR(__xludf.DUMMYFUNCTION("""COMPUTED_VALUE"""),"Mesmerism. Can read the minds of all creatures within near. Can instantly take on the illusory appearance of any humanoid.")</f>
        <v>Mesmerism. Can read the minds of all creatures within near. Can instantly take on the illusory appearance of any humanoid.</v>
      </c>
      <c r="S15" s="11" t="str">
        <f>IFERROR(__xludf.DUMMYFUNCTION("""COMPUTED_VALUE"""),"Weakness. A crossbow bolt under the effects of the holy weapon spell kills the rakshasa.")</f>
        <v>Weakness. A crossbow bolt under the effects of the holy weapon spell kills the rakshasa.</v>
      </c>
      <c r="T15" s="11"/>
      <c r="U15" s="11"/>
      <c r="V15" s="11"/>
      <c r="W15" s="11"/>
      <c r="X15" s="11"/>
      <c r="Y15" s="11"/>
      <c r="Z15" s="11"/>
      <c r="AA15" s="11"/>
      <c r="AB15" s="11"/>
    </row>
    <row r="16" ht="15.75" customHeight="1">
      <c r="A16" s="11" t="str">
        <f>IFERROR(__xludf.DUMMYFUNCTION("""COMPUTED_VALUE"""),"Shark, Megalodon")</f>
        <v>Shark, Megalodon</v>
      </c>
      <c r="B16" s="12">
        <f>IFERROR(__xludf.DUMMYFUNCTION("""COMPUTED_VALUE"""),5.0)</f>
        <v>5</v>
      </c>
      <c r="C16" s="11" t="str">
        <f>IFERROR(__xludf.DUMMYFUNCTION("""COMPUTED_VALUE"""),"CR")</f>
        <v>CR</v>
      </c>
      <c r="D16" s="11" t="str">
        <f>IFERROR(__xludf.DUMMYFUNCTION("""COMPUTED_VALUE"""),"Primordial sharks the size of whales. Savage hunters.")</f>
        <v>Primordial sharks the size of whales. Savage hunters.</v>
      </c>
      <c r="E16" s="11">
        <f>IFERROR(__xludf.DUMMYFUNCTION("""COMPUTED_VALUE"""),13.0)</f>
        <v>13</v>
      </c>
      <c r="F16" s="11" t="str">
        <f>IFERROR(__xludf.DUMMYFUNCTION("""COMPUTED_VALUE"""),"8")</f>
        <v>8</v>
      </c>
      <c r="G16" s="11" t="str">
        <f>IFERROR(__xludf.DUMMYFUNCTION("""COMPUTED_VALUE"""),"3 bite +7 (2d8)")</f>
        <v>3 bite +7 (2d8)</v>
      </c>
      <c r="H16" s="11" t="str">
        <f>IFERROR(__xludf.DUMMYFUNCTION("""COMPUTED_VALUE"""),"ouble near (swim)")</f>
        <v>ouble near (swim)</v>
      </c>
      <c r="I16" s="11" t="str">
        <f>IFERROR(__xludf.DUMMYFUNCTION("""COMPUTED_VALUE"""),"5")</f>
        <v>5</v>
      </c>
      <c r="J16" s="11" t="str">
        <f>IFERROR(__xludf.DUMMYFUNCTION("""COMPUTED_VALUE"""),"1")</f>
        <v>1</v>
      </c>
      <c r="K16" s="11" t="str">
        <f>IFERROR(__xludf.DUMMYFUNCTION("""COMPUTED_VALUE"""),"2")</f>
        <v>2</v>
      </c>
      <c r="L16" s="11" t="str">
        <f>IFERROR(__xludf.DUMMYFUNCTION("""COMPUTED_VALUE"""),"-3")</f>
        <v>-3</v>
      </c>
      <c r="M16" s="11" t="str">
        <f>IFERROR(__xludf.DUMMYFUNCTION("""COMPUTED_VALUE"""),"1")</f>
        <v>1</v>
      </c>
      <c r="N16" s="11" t="str">
        <f>IFERROR(__xludf.DUMMYFUNCTION("""COMPUTED_VALUE"""),"-3")</f>
        <v>-3</v>
      </c>
      <c r="O16" s="11" t="str">
        <f>IFERROR(__xludf.DUMMYFUNCTION("""COMPUTED_VALUE"""),"N")</f>
        <v>N</v>
      </c>
      <c r="P16" s="13">
        <f>IFERROR(__xludf.DUMMYFUNCTION("""COMPUTED_VALUE"""),8.0)</f>
        <v>8</v>
      </c>
      <c r="Q16" s="11" t="str">
        <f>IFERROR(__xludf.DUMMYFUNCTION("""COMPUTED_VALUE"""),"Fearless. Immune to morale checks.")</f>
        <v>Fearless. Immune to morale checks.</v>
      </c>
      <c r="R16" s="11"/>
      <c r="S16" s="11"/>
      <c r="T16" s="11"/>
      <c r="U16" s="11"/>
      <c r="V16" s="11"/>
      <c r="W16" s="11"/>
      <c r="X16" s="11"/>
      <c r="Y16" s="11"/>
      <c r="Z16" s="11"/>
      <c r="AA16" s="11"/>
      <c r="AB16" s="11"/>
    </row>
    <row r="17" ht="15.75" customHeight="1">
      <c r="A17" s="11" t="str">
        <f>IFERROR(__xludf.DUMMYFUNCTION("""COMPUTED_VALUE"""),"Treant")</f>
        <v>Treant</v>
      </c>
      <c r="B17" s="12">
        <f>IFERROR(__xludf.DUMMYFUNCTION("""COMPUTED_VALUE"""),9.0)</f>
        <v>9</v>
      </c>
      <c r="C17" s="11" t="str">
        <f>IFERROR(__xludf.DUMMYFUNCTION("""COMPUTED_VALUE"""),"CR")</f>
        <v>CR</v>
      </c>
      <c r="D17" s="11" t="str">
        <f>IFERROR(__xludf.DUMMYFUNCTION("""COMPUTED_VALUE"""),"Peaceful, slow-moving trees with merry eyes and tremulous voices. They protect the forest.")</f>
        <v>Peaceful, slow-moving trees with merry eyes and tremulous voices. They protect the forest.</v>
      </c>
      <c r="E17" s="11">
        <f>IFERROR(__xludf.DUMMYFUNCTION("""COMPUTED_VALUE"""),14.0)</f>
        <v>14</v>
      </c>
      <c r="F17" s="11" t="str">
        <f>IFERROR(__xludf.DUMMYFUNCTION("""COMPUTED_VALUE"""),"8")</f>
        <v>8</v>
      </c>
      <c r="G17" s="11" t="str">
        <f>IFERROR(__xludf.DUMMYFUNCTION("""COMPUTED_VALUE"""),"3 slam +8 (1d10) or 1 rock (far) +8 (2d12)")</f>
        <v>3 slam +8 (1d10) or 1 rock (far) +8 (2d12)</v>
      </c>
      <c r="H17" s="11" t="str">
        <f>IFERROR(__xludf.DUMMYFUNCTION("""COMPUTED_VALUE"""),"near")</f>
        <v>near</v>
      </c>
      <c r="I17" s="11" t="str">
        <f>IFERROR(__xludf.DUMMYFUNCTION("""COMPUTED_VALUE"""),"4")</f>
        <v>4</v>
      </c>
      <c r="J17" s="11" t="str">
        <f>IFERROR(__xludf.DUMMYFUNCTION("""COMPUTED_VALUE"""),"-1")</f>
        <v>-1</v>
      </c>
      <c r="K17" s="11" t="str">
        <f>IFERROR(__xludf.DUMMYFUNCTION("""COMPUTED_VALUE"""),"2")</f>
        <v>2</v>
      </c>
      <c r="L17" s="11" t="str">
        <f>IFERROR(__xludf.DUMMYFUNCTION("""COMPUTED_VALUE"""),"2")</f>
        <v>2</v>
      </c>
      <c r="M17" s="11" t="str">
        <f>IFERROR(__xludf.DUMMYFUNCTION("""COMPUTED_VALUE"""),"3")</f>
        <v>3</v>
      </c>
      <c r="N17" s="11" t="str">
        <f>IFERROR(__xludf.DUMMYFUNCTION("""COMPUTED_VALUE"""),"1")</f>
        <v>1</v>
      </c>
      <c r="O17" s="11" t="str">
        <f>IFERROR(__xludf.DUMMYFUNCTION("""COMPUTED_VALUE"""),"N")</f>
        <v>N</v>
      </c>
      <c r="P17" s="13">
        <f>IFERROR(__xludf.DUMMYFUNCTION("""COMPUTED_VALUE"""),8.0)</f>
        <v>8</v>
      </c>
      <c r="Q17" s="11" t="str">
        <f>IFERROR(__xludf.DUMMYFUNCTION("""COMPUTED_VALUE"""),"Animate Tree. 2/day. In place of attacks, one tree within near awakens as a treant ally without this ability. Reverts back in 1 day.")</f>
        <v>Animate Tree. 2/day. In place of attacks, one tree within near awakens as a treant ally without this ability. Reverts back in 1 day.</v>
      </c>
      <c r="R17" s="11"/>
      <c r="S17" s="11"/>
      <c r="T17" s="11"/>
      <c r="U17" s="11"/>
      <c r="V17" s="11"/>
      <c r="W17" s="11"/>
      <c r="X17" s="11"/>
      <c r="Y17" s="11"/>
      <c r="Z17" s="11"/>
      <c r="AA17" s="11"/>
      <c r="AB17" s="11"/>
    </row>
    <row r="18" ht="15.75" customHeight="1">
      <c r="A18" s="11" t="str">
        <f>IFERROR(__xludf.DUMMYFUNCTION("""COMPUTED_VALUE"""),"Viperian, Wizard")</f>
        <v>Viperian, Wizard</v>
      </c>
      <c r="B18" s="12" t="str">
        <f>IFERROR(__xludf.DUMMYFUNCTION("""COMPUTED_VALUE"""),"")</f>
        <v/>
      </c>
      <c r="C18" s="11" t="str">
        <f>IFERROR(__xludf.DUMMYFUNCTION("""COMPUTED_VALUE"""),"CR")</f>
        <v>CR</v>
      </c>
      <c r="D18" s="11" t="str">
        <f>IFERROR(__xludf.DUMMYFUNCTION("""COMPUTED_VALUE"""),"Thin viperians with scales tinged in black. They wear silk robes and silver, serpentine jewelry.")</f>
        <v>Thin viperians with scales tinged in black. They wear silk robes and silver, serpentine jewelry.</v>
      </c>
      <c r="E18" s="11">
        <f>IFERROR(__xludf.DUMMYFUNCTION("""COMPUTED_VALUE"""),13.0)</f>
        <v>13</v>
      </c>
      <c r="F18" s="11">
        <f>IFERROR(__xludf.DUMMYFUNCTION("""COMPUTED_VALUE"""),37.0)</f>
        <v>37</v>
      </c>
      <c r="G18" s="11" t="str">
        <f>IFERROR(__xludf.DUMMYFUNCTION("""COMPUTED_VALUE"""),"1 dagger (close/near) +2 (1d4) or 2 spell +5")</f>
        <v>1 dagger (close/near) +2 (1d4) or 2 spell +5</v>
      </c>
      <c r="H18" s="11" t="str">
        <f>IFERROR(__xludf.DUMMYFUNCTION("""COMPUTED_VALUE"""),"near")</f>
        <v>near</v>
      </c>
      <c r="I18" s="11">
        <f>IFERROR(__xludf.DUMMYFUNCTION("""COMPUTED_VALUE"""),0.0)</f>
        <v>0</v>
      </c>
      <c r="J18" s="11">
        <f>IFERROR(__xludf.DUMMYFUNCTION("""COMPUTED_VALUE"""),1.0)</f>
        <v>1</v>
      </c>
      <c r="K18" s="11">
        <f>IFERROR(__xludf.DUMMYFUNCTION("""COMPUTED_VALUE"""),0.0)</f>
        <v>0</v>
      </c>
      <c r="L18" s="11">
        <f>IFERROR(__xludf.DUMMYFUNCTION("""COMPUTED_VALUE"""),3.0)</f>
        <v>3</v>
      </c>
      <c r="M18" s="11">
        <f>IFERROR(__xludf.DUMMYFUNCTION("""COMPUTED_VALUE"""),1.0)</f>
        <v>1</v>
      </c>
      <c r="N18" s="11">
        <f>IFERROR(__xludf.DUMMYFUNCTION("""COMPUTED_VALUE"""),1.0)</f>
        <v>1</v>
      </c>
      <c r="O18" s="11" t="str">
        <f>IFERROR(__xludf.DUMMYFUNCTION("""COMPUTED_VALUE"""),"C")</f>
        <v>C</v>
      </c>
      <c r="P18" s="13">
        <f>IFERROR(__xludf.DUMMYFUNCTION("""COMPUTED_VALUE"""),8.0)</f>
        <v>8</v>
      </c>
      <c r="Q18" s="11" t="str">
        <f>IFERROR(__xludf.DUMMYFUNCTION("""COMPUTED_VALUE"""),"Hiss (INT Spell). DC 12. End one spell within far.")</f>
        <v>Hiss (INT Spell). DC 12. End one spell within far.</v>
      </c>
      <c r="R18" s="11" t="str">
        <f>IFERROR(__xludf.DUMMYFUNCTION("""COMPUTED_VALUE"""),"Summon Cobra (INT Spell). DC 13. Summon 1d4 loyal cobras that appear within near. They leave in 1d4 rounds.")</f>
        <v>Summon Cobra (INT Spell). DC 13. Summon 1d4 loyal cobras that appear within near. They leave in 1d4 rounds.</v>
      </c>
      <c r="S18" s="11" t="str">
        <f>IFERROR(__xludf.DUMMYFUNCTION("""COMPUTED_VALUE"""),"Venom (INT Spell). DC 12. One target in far takes 2d8 damage.")</f>
        <v>Venom (INT Spell). DC 12. One target in far takes 2d8 damage.</v>
      </c>
      <c r="T18" s="11" t="str">
        <f>IFERROR(__xludf.DUMMYFUNCTION("""COMPUTED_VALUE"""),"Whispers (INT Spell). DC 14. Focus. All enemies within near of viperian wizard have DISADV on spellcasting checks for the duration.")</f>
        <v>Whispers (INT Spell). DC 14. Focus. All enemies within near of viperian wizard have DISADV on spellcasting checks for the duration.</v>
      </c>
      <c r="U18" s="11"/>
      <c r="V18" s="11"/>
      <c r="W18" s="11"/>
      <c r="X18" s="11"/>
      <c r="Y18" s="11"/>
      <c r="Z18" s="11"/>
      <c r="AA18" s="11"/>
      <c r="AB18" s="11"/>
    </row>
    <row r="19" ht="15.75" customHeight="1">
      <c r="A19" s="11" t="str">
        <f>IFERROR(__xludf.DUMMYFUNCTION("""COMPUTED_VALUE"""),"Wraith")</f>
        <v>Wraith</v>
      </c>
      <c r="B19" s="12">
        <f>IFERROR(__xludf.DUMMYFUNCTION("""COMPUTED_VALUE"""),5.0)</f>
        <v>5</v>
      </c>
      <c r="C19" s="11" t="str">
        <f>IFERROR(__xludf.DUMMYFUNCTION("""COMPUTED_VALUE"""),"CR")</f>
        <v>CR</v>
      </c>
      <c r="D19" s="11" t="str">
        <f>IFERROR(__xludf.DUMMYFUNCTION("""COMPUTED_VALUE"""),"A shadowy spirit seething with anger and malice. Its presence is unsettling to animals.")</f>
        <v>A shadowy spirit seething with anger and malice. Its presence is unsettling to animals.</v>
      </c>
      <c r="E19" s="11">
        <f>IFERROR(__xludf.DUMMYFUNCTION("""COMPUTED_VALUE"""),14.0)</f>
        <v>14</v>
      </c>
      <c r="F19" s="11">
        <f>IFERROR(__xludf.DUMMYFUNCTION("""COMPUTED_VALUE"""),36.0)</f>
        <v>36</v>
      </c>
      <c r="G19" s="11" t="str">
        <f>IFERROR(__xludf.DUMMYFUNCTION("""COMPUTED_VALUE"""),"3 death touch +6 (1d10 + life drain)")</f>
        <v>3 death touch +6 (1d10 + life drain)</v>
      </c>
      <c r="H19" s="11" t="str">
        <f>IFERROR(__xludf.DUMMYFUNCTION("""COMPUTED_VALUE"""),"near (fly)")</f>
        <v>near (fly)</v>
      </c>
      <c r="I19" s="11">
        <f>IFERROR(__xludf.DUMMYFUNCTION("""COMPUTED_VALUE"""),-4.0)</f>
        <v>-4</v>
      </c>
      <c r="J19" s="11">
        <f>IFERROR(__xludf.DUMMYFUNCTION("""COMPUTED_VALUE"""),4.0)</f>
        <v>4</v>
      </c>
      <c r="K19" s="11">
        <f>IFERROR(__xludf.DUMMYFUNCTION("""COMPUTED_VALUE"""),0.0)</f>
        <v>0</v>
      </c>
      <c r="L19" s="11">
        <f>IFERROR(__xludf.DUMMYFUNCTION("""COMPUTED_VALUE"""),0.0)</f>
        <v>0</v>
      </c>
      <c r="M19" s="11">
        <f>IFERROR(__xludf.DUMMYFUNCTION("""COMPUTED_VALUE"""),0.0)</f>
        <v>0</v>
      </c>
      <c r="N19" s="11">
        <f>IFERROR(__xludf.DUMMYFUNCTION("""COMPUTED_VALUE"""),3.0)</f>
        <v>3</v>
      </c>
      <c r="O19" s="11" t="str">
        <f>IFERROR(__xludf.DUMMYFUNCTION("""COMPUTED_VALUE"""),"C")</f>
        <v>C</v>
      </c>
      <c r="P19" s="13">
        <f>IFERROR(__xludf.DUMMYFUNCTION("""COMPUTED_VALUE"""),8.0)</f>
        <v>8</v>
      </c>
      <c r="Q19" s="11" t="str">
        <f>IFERROR(__xludf.DUMMYFUNCTION("""COMPUTED_VALUE"""),"Greater Undead. Immune to morale checks. Only damaged by silver or magical sources.")</f>
        <v>Greater Undead. Immune to morale checks. Only damaged by silver or magical sources.</v>
      </c>
      <c r="R19" s="11" t="str">
        <f>IFERROR(__xludf.DUMMYFUNCTION("""COMPUTED_VALUE"""),"Incorporeal. In place of attacks, become corporeal or incorporeal.")</f>
        <v>Incorporeal. In place of attacks, become corporeal or incorporeal.</v>
      </c>
      <c r="S19" s="11" t="str">
        <f>IFERROR(__xludf.DUMMYFUNCTION("""COMPUTED_VALUE"""),"Life Drain. 1d4 CON damage. Death if reduced to 0 CON.")</f>
        <v>Life Drain. 1d4 CON damage. Death if reduced to 0 CON.</v>
      </c>
      <c r="T19" s="11"/>
      <c r="U19" s="11"/>
      <c r="V19" s="11"/>
      <c r="W19" s="11"/>
      <c r="X19" s="11"/>
      <c r="Y19" s="11"/>
      <c r="Z19" s="11"/>
      <c r="AA19" s="11"/>
      <c r="AB19" s="11"/>
    </row>
    <row r="20" ht="15.75" customHeight="1">
      <c r="A20" s="11" t="str">
        <f>IFERROR(__xludf.DUMMYFUNCTION("""COMPUTED_VALUE"""),"Wyvern")</f>
        <v>Wyvern</v>
      </c>
      <c r="B20" s="12">
        <f>IFERROR(__xludf.DUMMYFUNCTION("""COMPUTED_VALUE"""),6.0)</f>
        <v>6</v>
      </c>
      <c r="C20" s="11" t="str">
        <f>IFERROR(__xludf.DUMMYFUNCTION("""COMPUTED_VALUE"""),"CR")</f>
        <v>CR</v>
      </c>
      <c r="D20" s="11" t="str">
        <f>IFERROR(__xludf.DUMMYFUNCTION("""COMPUTED_VALUE"""),"Dragon-cousins with a large tail stinger, mottled lizard skin, and leathery wings.")</f>
        <v>Dragon-cousins with a large tail stinger, mottled lizard skin, and leathery wings.</v>
      </c>
      <c r="E20" s="11">
        <f>IFERROR(__xludf.DUMMYFUNCTION("""COMPUTED_VALUE"""),15.0)</f>
        <v>15</v>
      </c>
      <c r="F20" s="11">
        <f>IFERROR(__xludf.DUMMYFUNCTION("""COMPUTED_VALUE"""),37.0)</f>
        <v>37</v>
      </c>
      <c r="G20" s="11" t="str">
        <f>IFERROR(__xludf.DUMMYFUNCTION("""COMPUTED_VALUE"""),"2 rend +6 (1d8) and 1 stinger +6 (1d6 + poison)")</f>
        <v>2 rend +6 (1d8) and 1 stinger +6 (1d6 + poison)</v>
      </c>
      <c r="H20" s="11" t="str">
        <f>IFERROR(__xludf.DUMMYFUNCTION("""COMPUTED_VALUE"""),"double near (fly)")</f>
        <v>double near (fly)</v>
      </c>
      <c r="I20" s="11">
        <f>IFERROR(__xludf.DUMMYFUNCTION("""COMPUTED_VALUE"""),4.0)</f>
        <v>4</v>
      </c>
      <c r="J20" s="11">
        <f>IFERROR(__xludf.DUMMYFUNCTION("""COMPUTED_VALUE"""),2.0)</f>
        <v>2</v>
      </c>
      <c r="K20" s="11">
        <f>IFERROR(__xludf.DUMMYFUNCTION("""COMPUTED_VALUE"""),1.0)</f>
        <v>1</v>
      </c>
      <c r="L20" s="11">
        <f>IFERROR(__xludf.DUMMYFUNCTION("""COMPUTED_VALUE"""),-3.0)</f>
        <v>-3</v>
      </c>
      <c r="M20" s="11">
        <f>IFERROR(__xludf.DUMMYFUNCTION("""COMPUTED_VALUE"""),1.0)</f>
        <v>1</v>
      </c>
      <c r="N20" s="11">
        <f>IFERROR(__xludf.DUMMYFUNCTION("""COMPUTED_VALUE"""),-3.0)</f>
        <v>-3</v>
      </c>
      <c r="O20" s="11" t="str">
        <f>IFERROR(__xludf.DUMMYFUNCTION("""COMPUTED_VALUE"""),"N")</f>
        <v>N</v>
      </c>
      <c r="P20" s="13">
        <f>IFERROR(__xludf.DUMMYFUNCTION("""COMPUTED_VALUE"""),8.0)</f>
        <v>8</v>
      </c>
      <c r="Q20" s="11" t="str">
        <f>IFERROR(__xludf.DUMMYFUNCTION("""COMPUTED_VALUE"""),"Poison. DC 15 CON or take 2d10 damage.")</f>
        <v>Poison. DC 15 CON or take 2d10 damage.</v>
      </c>
      <c r="R20" s="11"/>
      <c r="S20" s="11"/>
      <c r="T20" s="11"/>
      <c r="U20" s="11"/>
      <c r="V20" s="11"/>
      <c r="W20" s="11"/>
      <c r="X20" s="11"/>
      <c r="Y20" s="11"/>
      <c r="Z20" s="11"/>
      <c r="AA20" s="11"/>
      <c r="AB20" s="11"/>
    </row>
  </sheetData>
  <customSheetViews>
    <customSheetView guid="{7904D927-A127-473C-8B57-4EE1C7E3FAE9}" filter="1" showAutoFilter="1">
      <autoFilter ref="$A$1:$AB$20">
        <filterColumn colId="2">
          <filters/>
        </filterColumn>
      </autoFilter>
    </customSheetView>
    <customSheetView guid="{6B2E9E35-D6A1-4749-95F2-2658A691119A}" filter="1" showAutoFilter="1">
      <autoFilter ref="$A$1:$AB$20">
        <filterColumn colId="2">
          <filters/>
        </filterColumn>
      </autoFilter>
    </customSheetView>
    <customSheetView guid="{51DCF084-7C01-403C-9896-1E7742DCA6B3}" filter="1" showAutoFilter="1">
      <autoFilter ref="$A$1:$AB$20"/>
    </customSheetView>
    <customSheetView guid="{4FEF9F0C-4236-4853-B093-88FE2289FD26}" filter="1" showAutoFilter="1">
      <autoFilter ref="$A$1:$AB$20">
        <filterColumn colId="2">
          <filters>
            <filter val="CR"/>
          </filters>
        </filterColumn>
      </autoFilter>
    </customSheetView>
    <customSheetView guid="{5CDEC3B1-201F-4BAD-941F-A80E62A04015}" filter="1" showAutoFilter="1">
      <autoFilter ref="$A$1:$AB$20">
        <filterColumn colId="2">
          <filters/>
        </filterColumn>
      </autoFilter>
    </customSheetView>
    <customSheetView guid="{7B4FF760-C879-4C05-8F10-45D59B7E7C3E}" filter="1" showAutoFilter="1">
      <autoFilter ref="$A$1:$AB$20">
        <filterColumn colId="2">
          <filters/>
        </filterColumn>
      </autoFilter>
    </customSheetView>
  </customSheetView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IFERROR(__xludf.DUMMYFUNCTION("SORT(
  FILTER(All!A5:Z1000, (All!P5:P1000 = 9) + (All!P5:P1000 = 10)),
  16, TRUE,
  1, TRUE
)
"),"Angel, Domini")</f>
        <v>Angel, Domini</v>
      </c>
      <c r="B2" s="12">
        <f>IFERROR(__xludf.DUMMYFUNCTION("""COMPUTED_VALUE"""),16.0)</f>
        <v>16</v>
      </c>
      <c r="C2" s="11" t="str">
        <f>IFERROR(__xludf.DUMMYFUNCTION("""COMPUTED_VALUE"""),"CR")</f>
        <v>CR</v>
      </c>
      <c r="D2" s="11" t="str">
        <f>IFERROR(__xludf.DUMMYFUNCTION("""COMPUTED_VALUE"""),"Winged, flawless humans glowing with bronze sunlight.")</f>
        <v>Winged, flawless humans glowing with bronze sunlight.</v>
      </c>
      <c r="E2" s="11" t="str">
        <f>IFERROR(__xludf.DUMMYFUNCTION("""COMPUTED_VALUE"""),"17 (plate mail + shield)")</f>
        <v>17 (plate mail + shield)</v>
      </c>
      <c r="F2" s="11">
        <f>IFERROR(__xludf.DUMMYFUNCTION("""COMPUTED_VALUE"""),42.0)</f>
        <v>42</v>
      </c>
      <c r="G2" s="11" t="str">
        <f>IFERROR(__xludf.DUMMYFUNCTION("""COMPUTED_VALUE"""),"3 bastard sword +7 (1d8) or 1 horn")</f>
        <v>3 bastard sword +7 (1d8) or 1 horn</v>
      </c>
      <c r="H2" s="11" t="str">
        <f>IFERROR(__xludf.DUMMYFUNCTION("""COMPUTED_VALUE"""),"near (fly)")</f>
        <v>near (fly)</v>
      </c>
      <c r="I2" s="11">
        <f>IFERROR(__xludf.DUMMYFUNCTION("""COMPUTED_VALUE"""),4.0)</f>
        <v>4</v>
      </c>
      <c r="J2" s="11">
        <f>IFERROR(__xludf.DUMMYFUNCTION("""COMPUTED_VALUE"""),1.0)</f>
        <v>1</v>
      </c>
      <c r="K2" s="11">
        <f>IFERROR(__xludf.DUMMYFUNCTION("""COMPUTED_VALUE"""),2.0)</f>
        <v>2</v>
      </c>
      <c r="L2" s="11">
        <f>IFERROR(__xludf.DUMMYFUNCTION("""COMPUTED_VALUE"""),3.0)</f>
        <v>3</v>
      </c>
      <c r="M2" s="11">
        <f>IFERROR(__xludf.DUMMYFUNCTION("""COMPUTED_VALUE"""),4.0)</f>
        <v>4</v>
      </c>
      <c r="N2" s="11">
        <f>IFERROR(__xludf.DUMMYFUNCTION("""COMPUTED_VALUE"""),4.0)</f>
        <v>4</v>
      </c>
      <c r="O2" s="11" t="str">
        <f>IFERROR(__xludf.DUMMYFUNCTION("""COMPUTED_VALUE"""),"L")</f>
        <v>L</v>
      </c>
      <c r="P2" s="13">
        <f>IFERROR(__xludf.DUMMYFUNCTION("""COMPUTED_VALUE"""),9.0)</f>
        <v>9</v>
      </c>
      <c r="Q2" s="11" t="str">
        <f>IFERROR(__xludf.DUMMYFUNCTION("""COMPUTED_VALUE"""),"Horn: All enemies in near DC 15 CHA or paralyzed 1d4 rounds.")</f>
        <v>Horn: All enemies in near DC 15 CHA or paralyzed 1d4 rounds.</v>
      </c>
      <c r="R2" s="11"/>
      <c r="S2" s="11"/>
      <c r="T2" s="11"/>
      <c r="U2" s="11"/>
      <c r="V2" s="11"/>
      <c r="W2" s="11"/>
      <c r="X2" s="11"/>
      <c r="Y2" s="11"/>
      <c r="Z2" s="11"/>
      <c r="AA2" s="11"/>
      <c r="AB2" s="11"/>
    </row>
    <row r="3" ht="15.75" customHeight="1">
      <c r="A3" s="11" t="str">
        <f>IFERROR(__xludf.DUMMYFUNCTION("""COMPUTED_VALUE"""),"Couatl")</f>
        <v>Couatl</v>
      </c>
      <c r="B3" s="12">
        <f>IFERROR(__xludf.DUMMYFUNCTION("""COMPUTED_VALUE"""),4.0)</f>
        <v>4</v>
      </c>
      <c r="C3" s="11" t="str">
        <f>IFERROR(__xludf.DUMMYFUNCTION("""COMPUTED_VALUE"""),"CR")</f>
        <v>CR</v>
      </c>
      <c r="D3" s="11" t="str">
        <f>IFERROR(__xludf.DUMMYFUNCTION("""COMPUTED_VALUE"""),"A human-sized snake with scales made of jewels and a corona of iridescent feathers.")</f>
        <v>A human-sized snake with scales made of jewels and a corona of iridescent feathers.</v>
      </c>
      <c r="E3" s="11">
        <f>IFERROR(__xludf.DUMMYFUNCTION("""COMPUTED_VALUE"""),16.0)</f>
        <v>16</v>
      </c>
      <c r="F3" s="11">
        <f>IFERROR(__xludf.DUMMYFUNCTION("""COMPUTED_VALUE"""),42.0)</f>
        <v>42</v>
      </c>
      <c r="G3" s="11" t="str">
        <f>IFERROR(__xludf.DUMMYFUNCTION("""COMPUTED_VALUE"""),"3 bite +6 (2d6 + poison)")</f>
        <v>3 bite +6 (2d6 + poison)</v>
      </c>
      <c r="H3" s="11" t="str">
        <f>IFERROR(__xludf.DUMMYFUNCTION("""COMPUTED_VALUE"""),"near (fly)")</f>
        <v>near (fly)</v>
      </c>
      <c r="I3" s="11">
        <f>IFERROR(__xludf.DUMMYFUNCTION("""COMPUTED_VALUE"""),2.0)</f>
        <v>2</v>
      </c>
      <c r="J3" s="11">
        <f>IFERROR(__xludf.DUMMYFUNCTION("""COMPUTED_VALUE"""),3.0)</f>
        <v>3</v>
      </c>
      <c r="K3" s="11">
        <f>IFERROR(__xludf.DUMMYFUNCTION("""COMPUTED_VALUE"""),2.0)</f>
        <v>2</v>
      </c>
      <c r="L3" s="11">
        <f>IFERROR(__xludf.DUMMYFUNCTION("""COMPUTED_VALUE"""),4.0)</f>
        <v>4</v>
      </c>
      <c r="M3" s="11">
        <f>IFERROR(__xludf.DUMMYFUNCTION("""COMPUTED_VALUE"""),4.0)</f>
        <v>4</v>
      </c>
      <c r="N3" s="11">
        <f>IFERROR(__xludf.DUMMYFUNCTION("""COMPUTED_VALUE"""),5.0)</f>
        <v>5</v>
      </c>
      <c r="O3" s="11" t="str">
        <f>IFERROR(__xludf.DUMMYFUNCTION("""COMPUTED_VALUE"""),"L")</f>
        <v>L</v>
      </c>
      <c r="P3" s="13">
        <f>IFERROR(__xludf.DUMMYFUNCTION("""COMPUTED_VALUE"""),9.0)</f>
        <v>9</v>
      </c>
      <c r="Q3" s="11" t="str">
        <f>IFERROR(__xludf.DUMMYFUNCTION("""COMPUTED_VALUE"""),"Change Shape. In place of attacks, transform into any similarly-sized creature.")</f>
        <v>Change Shape. In place of attacks, transform into any similarly-sized creature.</v>
      </c>
      <c r="R3" s="11" t="str">
        <f>IFERROR(__xludf.DUMMYFUNCTION("""COMPUTED_VALUE"""),"Poison. DC 15 CON or fall into natural, deep sleep for 1d8 hours.")</f>
        <v>Poison. DC 15 CON or fall into natural, deep sleep for 1d8 hours.</v>
      </c>
      <c r="S3" s="11" t="str">
        <f>IFERROR(__xludf.DUMMYFUNCTION("""COMPUTED_VALUE"""),"Restore. In place of attacks, touch one creature to remove a curse, affliction, or heal 3d8 HP.")</f>
        <v>Restore. In place of attacks, touch one creature to remove a curse, affliction, or heal 3d8 HP.</v>
      </c>
      <c r="T3" s="11"/>
      <c r="U3" s="11"/>
      <c r="V3" s="11"/>
      <c r="W3" s="11"/>
      <c r="X3" s="11"/>
      <c r="Y3" s="11"/>
      <c r="Z3" s="11"/>
      <c r="AA3" s="11"/>
      <c r="AB3" s="11"/>
    </row>
    <row r="4" ht="15.75" customHeight="1">
      <c r="A4" s="11" t="str">
        <f>IFERROR(__xludf.DUMMYFUNCTION("""COMPUTED_VALUE"""),"Demon, Marilith")</f>
        <v>Demon, Marilith</v>
      </c>
      <c r="B4" s="12">
        <f>IFERROR(__xludf.DUMMYFUNCTION("""COMPUTED_VALUE"""),16.0)</f>
        <v>16</v>
      </c>
      <c r="C4" s="11" t="str">
        <f>IFERROR(__xludf.DUMMYFUNCTION("""COMPUTED_VALUE"""),"CR")</f>
        <v>CR</v>
      </c>
      <c r="D4" s="11" t="str">
        <f>IFERROR(__xludf.DUMMYFUNCTION("""COMPUTED_VALUE"""),"Hissing, armored women with six limbs and the lower bodies of giant snakes. Six whirling blades flash in their hands.")</f>
        <v>Hissing, armored women with six limbs and the lower bodies of giant snakes. Six whirling blades flash in their hands.</v>
      </c>
      <c r="E4" s="11">
        <f>IFERROR(__xludf.DUMMYFUNCTION("""COMPUTED_VALUE"""),17.0)</f>
        <v>17</v>
      </c>
      <c r="F4" s="11">
        <f>IFERROR(__xludf.DUMMYFUNCTION("""COMPUTED_VALUE"""),44.0)</f>
        <v>44</v>
      </c>
      <c r="G4" s="11" t="str">
        <f>IFERROR(__xludf.DUMMYFUNCTION("""COMPUTED_VALUE"""),"6 longsword +7 (1d8)")</f>
        <v>6 longsword +7 (1d8)</v>
      </c>
      <c r="H4" s="11" t="str">
        <f>IFERROR(__xludf.DUMMYFUNCTION("""COMPUTED_VALUE"""),"near (climb)")</f>
        <v>near (climb)</v>
      </c>
      <c r="I4" s="11">
        <f>IFERROR(__xludf.DUMMYFUNCTION("""COMPUTED_VALUE"""),5.0)</f>
        <v>5</v>
      </c>
      <c r="J4" s="11">
        <f>IFERROR(__xludf.DUMMYFUNCTION("""COMPUTED_VALUE"""),4.0)</f>
        <v>4</v>
      </c>
      <c r="K4" s="11">
        <f>IFERROR(__xludf.DUMMYFUNCTION("""COMPUTED_VALUE"""),3.0)</f>
        <v>3</v>
      </c>
      <c r="L4" s="11">
        <f>IFERROR(__xludf.DUMMYFUNCTION("""COMPUTED_VALUE"""),3.0)</f>
        <v>3</v>
      </c>
      <c r="M4" s="11">
        <f>IFERROR(__xludf.DUMMYFUNCTION("""COMPUTED_VALUE"""),3.0)</f>
        <v>3</v>
      </c>
      <c r="N4" s="11">
        <f>IFERROR(__xludf.DUMMYFUNCTION("""COMPUTED_VALUE"""),4.0)</f>
        <v>4</v>
      </c>
      <c r="O4" s="11" t="str">
        <f>IFERROR(__xludf.DUMMYFUNCTION("""COMPUTED_VALUE"""),"C")</f>
        <v>C</v>
      </c>
      <c r="P4" s="13">
        <f>IFERROR(__xludf.DUMMYFUNCTION("""COMPUTED_VALUE"""),9.0)</f>
        <v>9</v>
      </c>
      <c r="Q4" s="11" t="str">
        <f>IFERROR(__xludf.DUMMYFUNCTION("""COMPUTED_VALUE"""),"Parry. Trade 2 longsword attacks next round to deflect a melee attack that would hit.")</f>
        <v>Parry. Trade 2 longsword attacks next round to deflect a melee attack that would hit.</v>
      </c>
      <c r="R4" s="11"/>
      <c r="S4" s="11"/>
      <c r="T4" s="11"/>
      <c r="U4" s="11"/>
      <c r="V4" s="11"/>
      <c r="W4" s="11"/>
      <c r="X4" s="11"/>
      <c r="Y4" s="11"/>
      <c r="Z4" s="11"/>
      <c r="AA4" s="11"/>
      <c r="AB4" s="11"/>
    </row>
    <row r="5" ht="15.75" customHeight="1">
      <c r="A5" s="11" t="str">
        <f>IFERROR(__xludf.DUMMYFUNCTION("""COMPUTED_VALUE"""),"Devil, Erinyes")</f>
        <v>Devil, Erinyes</v>
      </c>
      <c r="B5" s="12">
        <f>IFERROR(__xludf.DUMMYFUNCTION("""COMPUTED_VALUE"""),12.0)</f>
        <v>12</v>
      </c>
      <c r="C5" s="11" t="str">
        <f>IFERROR(__xludf.DUMMYFUNCTION("""COMPUTED_VALUE"""),"CR")</f>
        <v>CR</v>
      </c>
      <c r="D5" s="11" t="str">
        <f>IFERROR(__xludf.DUMMYFUNCTION("""COMPUTED_VALUE"""),"Raven-winged, resplendent beings in polished, black armor and helms with curved horns.")</f>
        <v>Raven-winged, resplendent beings in polished, black armor and helms with curved horns.</v>
      </c>
      <c r="E5" s="11" t="str">
        <f>IFERROR(__xludf.DUMMYFUNCTION("""COMPUTED_VALUE"""),"17 (+1 plate mail)")</f>
        <v>17 (+1 plate mail)</v>
      </c>
      <c r="F5" s="11">
        <f>IFERROR(__xludf.DUMMYFUNCTION("""COMPUTED_VALUE"""),43.0)</f>
        <v>43</v>
      </c>
      <c r="G5" s="11" t="str">
        <f>IFERROR(__xludf.DUMMYFUNCTION("""COMPUTED_VALUE"""),"3 greatsword +8 (1d12) or 2 longbow (far) +8 (1d8 + poison)")</f>
        <v>3 greatsword +8 (1d12) or 2 longbow (far) +8 (1d8 + poison)</v>
      </c>
      <c r="H5" s="11" t="str">
        <f>IFERROR(__xludf.DUMMYFUNCTION("""COMPUTED_VALUE"""),"double near (fly)")</f>
        <v>double near (fly)</v>
      </c>
      <c r="I5" s="11">
        <f>IFERROR(__xludf.DUMMYFUNCTION("""COMPUTED_VALUE"""),4.0)</f>
        <v>4</v>
      </c>
      <c r="J5" s="11">
        <f>IFERROR(__xludf.DUMMYFUNCTION("""COMPUTED_VALUE"""),4.0)</f>
        <v>4</v>
      </c>
      <c r="K5" s="11">
        <f>IFERROR(__xludf.DUMMYFUNCTION("""COMPUTED_VALUE"""),3.0)</f>
        <v>3</v>
      </c>
      <c r="L5" s="11">
        <f>IFERROR(__xludf.DUMMYFUNCTION("""COMPUTED_VALUE"""),4.0)</f>
        <v>4</v>
      </c>
      <c r="M5" s="11">
        <f>IFERROR(__xludf.DUMMYFUNCTION("""COMPUTED_VALUE"""),4.0)</f>
        <v>4</v>
      </c>
      <c r="N5" s="11">
        <f>IFERROR(__xludf.DUMMYFUNCTION("""COMPUTED_VALUE"""),5.0)</f>
        <v>5</v>
      </c>
      <c r="O5" s="11" t="str">
        <f>IFERROR(__xludf.DUMMYFUNCTION("""COMPUTED_VALUE"""),"C")</f>
        <v>C</v>
      </c>
      <c r="P5" s="13">
        <f>IFERROR(__xludf.DUMMYFUNCTION("""COMPUTED_VALUE"""),9.0)</f>
        <v>9</v>
      </c>
      <c r="Q5" s="11" t="str">
        <f>IFERROR(__xludf.DUMMYFUNCTION("""COMPUTED_VALUE"""),"Poison. DC 15 CON or target's eyes go jet black and it turns on its allies for 1d4 rounds. DC 15 WIS on turn to end effect.")</f>
        <v>Poison. DC 15 CON or target's eyes go jet black and it turns on its allies for 1d4 rounds. DC 15 WIS on turn to end effect.</v>
      </c>
      <c r="R5" s="11"/>
      <c r="S5" s="11"/>
      <c r="T5" s="11"/>
      <c r="U5" s="11"/>
      <c r="V5" s="11"/>
      <c r="W5" s="11"/>
      <c r="X5" s="11"/>
      <c r="Y5" s="11"/>
      <c r="Z5" s="11"/>
      <c r="AA5" s="11"/>
      <c r="AB5" s="11"/>
    </row>
    <row r="6" ht="15.75" customHeight="1">
      <c r="A6" s="11" t="str">
        <f>IFERROR(__xludf.DUMMYFUNCTION("""COMPUTED_VALUE"""),"Dinosaur, Tyrannosaurus")</f>
        <v>Dinosaur, Tyrannosaurus</v>
      </c>
      <c r="B6" s="12">
        <f>IFERROR(__xludf.DUMMYFUNCTION("""COMPUTED_VALUE"""),8.0)</f>
        <v>8</v>
      </c>
      <c r="C6" s="11" t="str">
        <f>IFERROR(__xludf.DUMMYFUNCTION("""COMPUTED_VALUE"""),"CR")</f>
        <v>CR</v>
      </c>
      <c r="D6" s="11" t="str">
        <f>IFERROR(__xludf.DUMMYFUNCTION("""COMPUTED_VALUE"""),"Towering, bipedal lizards with a massive head, jaws, and neck.")</f>
        <v>Towering, bipedal lizards with a massive head, jaws, and neck.</v>
      </c>
      <c r="E6" s="11">
        <f>IFERROR(__xludf.DUMMYFUNCTION("""COMPUTED_VALUE"""),13.0)</f>
        <v>13</v>
      </c>
      <c r="F6" s="11">
        <f>IFERROR(__xludf.DUMMYFUNCTION("""COMPUTED_VALUE"""),44.0)</f>
        <v>44</v>
      </c>
      <c r="G6" s="11" t="str">
        <f>IFERROR(__xludf.DUMMYFUNCTION("""COMPUTED_VALUE"""),"3 bite +8 (2d12)")</f>
        <v>3 bite +8 (2d12)</v>
      </c>
      <c r="H6" s="11" t="str">
        <f>IFERROR(__xludf.DUMMYFUNCTION("""COMPUTED_VALUE"""),"double near")</f>
        <v>double near</v>
      </c>
      <c r="I6" s="11">
        <f>IFERROR(__xludf.DUMMYFUNCTION("""COMPUTED_VALUE"""),5.0)</f>
        <v>5</v>
      </c>
      <c r="J6" s="11">
        <f>IFERROR(__xludf.DUMMYFUNCTION("""COMPUTED_VALUE"""),1.0)</f>
        <v>1</v>
      </c>
      <c r="K6" s="11">
        <f>IFERROR(__xludf.DUMMYFUNCTION("""COMPUTED_VALUE"""),4.0)</f>
        <v>4</v>
      </c>
      <c r="L6" s="11">
        <f>IFERROR(__xludf.DUMMYFUNCTION("""COMPUTED_VALUE"""),-3.0)</f>
        <v>-3</v>
      </c>
      <c r="M6" s="11">
        <f>IFERROR(__xludf.DUMMYFUNCTION("""COMPUTED_VALUE"""),1.0)</f>
        <v>1</v>
      </c>
      <c r="N6" s="11">
        <f>IFERROR(__xludf.DUMMYFUNCTION("""COMPUTED_VALUE"""),-3.0)</f>
        <v>-3</v>
      </c>
      <c r="O6" s="11" t="str">
        <f>IFERROR(__xludf.DUMMYFUNCTION("""COMPUTED_VALUE"""),"N")</f>
        <v>N</v>
      </c>
      <c r="P6" s="13">
        <f>IFERROR(__xludf.DUMMYFUNCTION("""COMPUTED_VALUE"""),9.0)</f>
        <v>9</v>
      </c>
      <c r="Q6" s="11"/>
      <c r="R6" s="11"/>
      <c r="S6" s="11"/>
      <c r="T6" s="11"/>
      <c r="U6" s="11"/>
      <c r="V6" s="11"/>
      <c r="W6" s="11"/>
      <c r="X6" s="11"/>
      <c r="Y6" s="11"/>
      <c r="Z6" s="11"/>
      <c r="AA6" s="11"/>
      <c r="AB6" s="11"/>
    </row>
    <row r="7" ht="15.75" customHeight="1">
      <c r="A7" s="11" t="str">
        <f>IFERROR(__xludf.DUMMYFUNCTION("""COMPUTED_VALUE"""),"Efreeti")</f>
        <v>Efreeti</v>
      </c>
      <c r="B7" s="12">
        <f>IFERROR(__xludf.DUMMYFUNCTION("""COMPUTED_VALUE"""),17.0)</f>
        <v>17</v>
      </c>
      <c r="C7" s="11" t="str">
        <f>IFERROR(__xludf.DUMMYFUNCTION("""COMPUTED_VALUE"""),"CR")</f>
        <v>CR</v>
      </c>
      <c r="D7" s="11" t="str">
        <f>IFERROR(__xludf.DUMMYFUNCTION("""COMPUTED_VALUE"""),"Blood-red, towering humanoids formed of lava and ash. Short, black horns and snarling grins.")</f>
        <v>Blood-red, towering humanoids formed of lava and ash. Short, black horns and snarling grins.</v>
      </c>
      <c r="E7" s="11">
        <f>IFERROR(__xludf.DUMMYFUNCTION("""COMPUTED_VALUE"""),15.0)</f>
        <v>15</v>
      </c>
      <c r="F7" s="11">
        <f>IFERROR(__xludf.DUMMYFUNCTION("""COMPUTED_VALUE"""),43.0)</f>
        <v>43</v>
      </c>
      <c r="G7" s="11" t="str">
        <f>IFERROR(__xludf.DUMMYFUNCTION("""COMPUTED_VALUE"""),"3 scimitar +8 (2d10) or 2 fire bolt +5 (2d6)")</f>
        <v>3 scimitar +8 (2d10) or 2 fire bolt +5 (2d6)</v>
      </c>
      <c r="H7" s="11" t="str">
        <f>IFERROR(__xludf.DUMMYFUNCTION("""COMPUTED_VALUE"""),"near (fly)")</f>
        <v>near (fly)</v>
      </c>
      <c r="I7" s="11">
        <f>IFERROR(__xludf.DUMMYFUNCTION("""COMPUTED_VALUE"""),5.0)</f>
        <v>5</v>
      </c>
      <c r="J7" s="11">
        <f>IFERROR(__xludf.DUMMYFUNCTION("""COMPUTED_VALUE"""),2.0)</f>
        <v>2</v>
      </c>
      <c r="K7" s="11">
        <f>IFERROR(__xludf.DUMMYFUNCTION("""COMPUTED_VALUE"""),3.0)</f>
        <v>3</v>
      </c>
      <c r="L7" s="11">
        <f>IFERROR(__xludf.DUMMYFUNCTION("""COMPUTED_VALUE"""),3.0)</f>
        <v>3</v>
      </c>
      <c r="M7" s="11">
        <f>IFERROR(__xludf.DUMMYFUNCTION("""COMPUTED_VALUE"""),2.0)</f>
        <v>2</v>
      </c>
      <c r="N7" s="11">
        <f>IFERROR(__xludf.DUMMYFUNCTION("""COMPUTED_VALUE"""),3.0)</f>
        <v>3</v>
      </c>
      <c r="O7" s="11" t="str">
        <f>IFERROR(__xludf.DUMMYFUNCTION("""COMPUTED_VALUE"""),"C")</f>
        <v>C</v>
      </c>
      <c r="P7" s="13">
        <f>IFERROR(__xludf.DUMMYFUNCTION("""COMPUTED_VALUE"""),9.0)</f>
        <v>9</v>
      </c>
      <c r="Q7" s="11" t="str">
        <f>IFERROR(__xludf.DUMMYFUNCTION("""COMPUTED_VALUE"""),"Impervious. Only damaged by magical sources. Fire immune.")</f>
        <v>Impervious. Only damaged by magical sources. Fire immune.</v>
      </c>
      <c r="R7" s="11" t="str">
        <f>IFERROR(__xludf.DUMMYFUNCTION("""COMPUTED_VALUE"""),"Wall of Flame. 1/day, 20' high curtain of fire, double near length. Touching it deals 4d8 damage. Lasts 2d4 rounds.")</f>
        <v>Wall of Flame. 1/day, 20' high curtain of fire, double near length. Touching it deals 4d8 damage. Lasts 2d4 rounds.</v>
      </c>
      <c r="S7" s="11" t="str">
        <f>IFERROR(__xludf.DUMMYFUNCTION("""COMPUTED_VALUE"""),"Wish. Cast wish once a week for a mortal, no spellcasting check.")</f>
        <v>Wish. Cast wish once a week for a mortal, no spellcasting check.</v>
      </c>
      <c r="T7" s="11"/>
      <c r="U7" s="11"/>
      <c r="V7" s="11"/>
      <c r="W7" s="11"/>
      <c r="X7" s="11"/>
      <c r="Y7" s="11"/>
      <c r="Z7" s="11"/>
      <c r="AA7" s="11"/>
      <c r="AB7" s="11"/>
    </row>
    <row r="8" ht="15.75" customHeight="1">
      <c r="A8" s="11" t="str">
        <f>IFERROR(__xludf.DUMMYFUNCTION("""COMPUTED_VALUE"""),"Giant, Fire")</f>
        <v>Giant, Fire</v>
      </c>
      <c r="B8" s="12">
        <f>IFERROR(__xludf.DUMMYFUNCTION("""COMPUTED_VALUE"""),9.0)</f>
        <v>9</v>
      </c>
      <c r="C8" s="11" t="str">
        <f>IFERROR(__xludf.DUMMYFUNCTION("""COMPUTED_VALUE"""),"CR")</f>
        <v>CR</v>
      </c>
      <c r="D8" s="11" t="str">
        <f>IFERROR(__xludf.DUMMYFUNCTION("""COMPUTED_VALUE"""),"Bulky, muscled giants with coppery skin and red hair. Heavily armored in iron plate mail studded with bronze rivets.")</f>
        <v>Bulky, muscled giants with coppery skin and red hair. Heavily armored in iron plate mail studded with bronze rivets.</v>
      </c>
      <c r="E8" s="11">
        <f>IFERROR(__xludf.DUMMYFUNCTION("""COMPUTED_VALUE"""),15.0)</f>
        <v>15</v>
      </c>
      <c r="F8" s="11">
        <f>IFERROR(__xludf.DUMMYFUNCTION("""COMPUTED_VALUE"""),44.0)</f>
        <v>44</v>
      </c>
      <c r="G8" s="11" t="str">
        <f>IFERROR(__xludf.DUMMYFUNCTION("""COMPUTED_VALUE"""),"3 greatsword +9 (2d12)")</f>
        <v>3 greatsword +9 (2d12)</v>
      </c>
      <c r="H8" s="11" t="str">
        <f>IFERROR(__xludf.DUMMYFUNCTION("""COMPUTED_VALUE"""),"double near")</f>
        <v>double near</v>
      </c>
      <c r="I8" s="11">
        <f>IFERROR(__xludf.DUMMYFUNCTION("""COMPUTED_VALUE"""),6.0)</f>
        <v>6</v>
      </c>
      <c r="J8" s="11">
        <f>IFERROR(__xludf.DUMMYFUNCTION("""COMPUTED_VALUE"""),0.0)</f>
        <v>0</v>
      </c>
      <c r="K8" s="11">
        <f>IFERROR(__xludf.DUMMYFUNCTION("""COMPUTED_VALUE"""),4.0)</f>
        <v>4</v>
      </c>
      <c r="L8" s="11">
        <f>IFERROR(__xludf.DUMMYFUNCTION("""COMPUTED_VALUE"""),1.0)</f>
        <v>1</v>
      </c>
      <c r="M8" s="11">
        <f>IFERROR(__xludf.DUMMYFUNCTION("""COMPUTED_VALUE"""),2.0)</f>
        <v>2</v>
      </c>
      <c r="N8" s="11">
        <f>IFERROR(__xludf.DUMMYFUNCTION("""COMPUTED_VALUE"""),1.0)</f>
        <v>1</v>
      </c>
      <c r="O8" s="11" t="str">
        <f>IFERROR(__xludf.DUMMYFUNCTION("""COMPUTED_VALUE"""),"C")</f>
        <v>C</v>
      </c>
      <c r="P8" s="13">
        <f>IFERROR(__xludf.DUMMYFUNCTION("""COMPUTED_VALUE"""),9.0)</f>
        <v>9</v>
      </c>
      <c r="Q8" s="11" t="str">
        <f>IFERROR(__xludf.DUMMYFUNCTION("""COMPUTED_VALUE"""),"Fireblood. Fire immune.")</f>
        <v>Fireblood. Fire immune.</v>
      </c>
      <c r="R8" s="11"/>
      <c r="S8" s="11"/>
      <c r="T8" s="11"/>
      <c r="U8" s="11"/>
      <c r="V8" s="11"/>
      <c r="W8" s="11"/>
      <c r="X8" s="11"/>
      <c r="Y8" s="11"/>
      <c r="Z8" s="11"/>
      <c r="AA8" s="11"/>
      <c r="AB8" s="11"/>
    </row>
    <row r="9" ht="15.75" customHeight="1">
      <c r="A9" s="11" t="str">
        <f>IFERROR(__xludf.DUMMYFUNCTION("""COMPUTED_VALUE"""),"Giant, Frost")</f>
        <v>Giant, Frost</v>
      </c>
      <c r="B9" s="12">
        <f>IFERROR(__xludf.DUMMYFUNCTION("""COMPUTED_VALUE"""),8.0)</f>
        <v>8</v>
      </c>
      <c r="C9" s="11" t="str">
        <f>IFERROR(__xludf.DUMMYFUNCTION("""COMPUTED_VALUE"""),"CR")</f>
        <v>CR</v>
      </c>
      <c r="D9" s="11" t="str">
        <f>IFERROR(__xludf.DUMMYFUNCTION("""COMPUTED_VALUE"""),"Blue-skinned warriors with broad shoulders and braided hair. They sound war horns during their frequent raids.")</f>
        <v>Blue-skinned warriors with broad shoulders and braided hair. They sound war horns during their frequent raids.</v>
      </c>
      <c r="E9" s="11">
        <f>IFERROR(__xludf.DUMMYFUNCTION("""COMPUTED_VALUE"""),14.0)</f>
        <v>14</v>
      </c>
      <c r="F9" s="11">
        <f>IFERROR(__xludf.DUMMYFUNCTION("""COMPUTED_VALUE"""),44.0)</f>
        <v>44</v>
      </c>
      <c r="G9" s="11" t="str">
        <f>IFERROR(__xludf.DUMMYFUNCTION("""COMPUTED_VALUE"""),"3 greataxe +8 (2d10)")</f>
        <v>3 greataxe +8 (2d10)</v>
      </c>
      <c r="H9" s="11" t="str">
        <f>IFERROR(__xludf.DUMMYFUNCTION("""COMPUTED_VALUE"""),"double near")</f>
        <v>double near</v>
      </c>
      <c r="I9" s="11">
        <f>IFERROR(__xludf.DUMMYFUNCTION("""COMPUTED_VALUE"""),5.0)</f>
        <v>5</v>
      </c>
      <c r="J9" s="11">
        <f>IFERROR(__xludf.DUMMYFUNCTION("""COMPUTED_VALUE"""),1.0)</f>
        <v>1</v>
      </c>
      <c r="K9" s="11">
        <f>IFERROR(__xludf.DUMMYFUNCTION("""COMPUTED_VALUE"""),4.0)</f>
        <v>4</v>
      </c>
      <c r="L9" s="11">
        <f>IFERROR(__xludf.DUMMYFUNCTION("""COMPUTED_VALUE"""),2.0)</f>
        <v>2</v>
      </c>
      <c r="M9" s="11">
        <f>IFERROR(__xludf.DUMMYFUNCTION("""COMPUTED_VALUE"""),3.0)</f>
        <v>3</v>
      </c>
      <c r="N9" s="11">
        <f>IFERROR(__xludf.DUMMYFUNCTION("""COMPUTED_VALUE"""),2.0)</f>
        <v>2</v>
      </c>
      <c r="O9" s="11" t="str">
        <f>IFERROR(__xludf.DUMMYFUNCTION("""COMPUTED_VALUE"""),"C")</f>
        <v>C</v>
      </c>
      <c r="P9" s="13">
        <f>IFERROR(__xludf.DUMMYFUNCTION("""COMPUTED_VALUE"""),9.0)</f>
        <v>9</v>
      </c>
      <c r="Q9" s="11" t="str">
        <f>IFERROR(__xludf.DUMMYFUNCTION("""COMPUTED_VALUE"""),"Frostblood. Cold immune.")</f>
        <v>Frostblood. Cold immune.</v>
      </c>
      <c r="R9" s="11"/>
      <c r="S9" s="11"/>
      <c r="T9" s="11"/>
      <c r="U9" s="11"/>
      <c r="V9" s="11"/>
      <c r="W9" s="11"/>
      <c r="X9" s="11"/>
      <c r="Y9" s="11"/>
      <c r="Z9" s="11"/>
      <c r="AA9" s="11"/>
      <c r="AB9" s="11"/>
    </row>
    <row r="10" ht="15.75" customHeight="1">
      <c r="A10" s="11" t="str">
        <f>IFERROR(__xludf.DUMMYFUNCTION("""COMPUTED_VALUE"""),"Grimlow")</f>
        <v>Grimlow</v>
      </c>
      <c r="B10" s="12" t="str">
        <f>IFERROR(__xludf.DUMMYFUNCTION("""COMPUTED_VALUE"""),"")</f>
        <v/>
      </c>
      <c r="C10" s="11" t="str">
        <f>IFERROR(__xludf.DUMMYFUNCTION("""COMPUTED_VALUE"""),"CR")</f>
        <v>CR</v>
      </c>
      <c r="D10" s="11" t="str">
        <f>IFERROR(__xludf.DUMMYFUNCTION("""COMPUTED_VALUE"""),"A tall, oval-shaped mammal. A giant, half-moon maw hides on its belly beneath its gray fur.")</f>
        <v>A tall, oval-shaped mammal. A giant, half-moon maw hides on its belly beneath its gray fur.</v>
      </c>
      <c r="E10" s="11">
        <f>IFERROR(__xludf.DUMMYFUNCTION("""COMPUTED_VALUE"""),12.0)</f>
        <v>12</v>
      </c>
      <c r="F10" s="11">
        <f>IFERROR(__xludf.DUMMYFUNCTION("""COMPUTED_VALUE"""),43.0)</f>
        <v>43</v>
      </c>
      <c r="G10" s="11" t="str">
        <f>IFERROR(__xludf.DUMMYFUNCTION("""COMPUTED_VALUE"""),"1 grab and 3 bite +6 (2d8)")</f>
        <v>1 grab and 3 bite +6 (2d8)</v>
      </c>
      <c r="H10" s="11" t="str">
        <f>IFERROR(__xludf.DUMMYFUNCTION("""COMPUTED_VALUE"""),"near")</f>
        <v>near</v>
      </c>
      <c r="I10" s="11">
        <f>IFERROR(__xludf.DUMMYFUNCTION("""COMPUTED_VALUE"""),4.0)</f>
        <v>4</v>
      </c>
      <c r="J10" s="11">
        <f>IFERROR(__xludf.DUMMYFUNCTION("""COMPUTED_VALUE"""),2.0)</f>
        <v>2</v>
      </c>
      <c r="K10" s="11">
        <f>IFERROR(__xludf.DUMMYFUNCTION("""COMPUTED_VALUE"""),3.0)</f>
        <v>3</v>
      </c>
      <c r="L10" s="11">
        <f>IFERROR(__xludf.DUMMYFUNCTION("""COMPUTED_VALUE"""),-3.0)</f>
        <v>-3</v>
      </c>
      <c r="M10" s="11">
        <f>IFERROR(__xludf.DUMMYFUNCTION("""COMPUTED_VALUE"""),1.0)</f>
        <v>1</v>
      </c>
      <c r="N10" s="11">
        <f>IFERROR(__xludf.DUMMYFUNCTION("""COMPUTED_VALUE"""),-2.0)</f>
        <v>-2</v>
      </c>
      <c r="O10" s="11" t="str">
        <f>IFERROR(__xludf.DUMMYFUNCTION("""COMPUTED_VALUE"""),"N")</f>
        <v>N</v>
      </c>
      <c r="P10" s="13">
        <f>IFERROR(__xludf.DUMMYFUNCTION("""COMPUTED_VALUE"""),9.0)</f>
        <v>9</v>
      </c>
      <c r="Q10" s="11" t="str">
        <f>IFERROR(__xludf.DUMMYFUNCTION("""COMPUTED_VALUE"""),"Grab. One target in near DC 15 STR or wrapped in grimlow's tongue and pulled into its mouth. Bite attacks automatically hit the target. Can only grab 1 target at a time. DC 15 STR on turn to break free.")</f>
        <v>Grab. One target in near DC 15 STR or wrapped in grimlow's tongue and pulled into its mouth. Bite attacks automatically hit the target. Can only grab 1 target at a time. DC 15 STR on turn to break free.</v>
      </c>
      <c r="R10" s="11"/>
      <c r="S10" s="11"/>
      <c r="T10" s="11"/>
      <c r="U10" s="11"/>
      <c r="V10" s="11"/>
      <c r="W10" s="11"/>
      <c r="X10" s="11"/>
      <c r="Y10" s="11"/>
      <c r="Z10" s="11"/>
      <c r="AA10" s="11"/>
      <c r="AB10" s="11"/>
    </row>
    <row r="11" ht="15.75" customHeight="1">
      <c r="A11" s="11" t="str">
        <f>IFERROR(__xludf.DUMMYFUNCTION("""COMPUTED_VALUE"""),"Mammoth")</f>
        <v>Mammoth</v>
      </c>
      <c r="B11" s="12">
        <f>IFERROR(__xludf.DUMMYFUNCTION("""COMPUTED_VALUE"""),6.0)</f>
        <v>6</v>
      </c>
      <c r="C11" s="11" t="str">
        <f>IFERROR(__xludf.DUMMYFUNCTION("""COMPUTED_VALUE"""),"CR")</f>
        <v>CR</v>
      </c>
      <c r="D11" s="11" t="str">
        <f>IFERROR(__xludf.DUMMYFUNCTION("""COMPUTED_VALUE"""),"Massive, shaggy elephants with tusks that reach the ground.")</f>
        <v>Massive, shaggy elephants with tusks that reach the ground.</v>
      </c>
      <c r="E11" s="11">
        <f>IFERROR(__xludf.DUMMYFUNCTION("""COMPUTED_VALUE"""),15.0)</f>
        <v>15</v>
      </c>
      <c r="F11" s="11">
        <f>IFERROR(__xludf.DUMMYFUNCTION("""COMPUTED_VALUE"""),44.0)</f>
        <v>44</v>
      </c>
      <c r="G11" s="11" t="str">
        <f>IFERROR(__xludf.DUMMYFUNCTION("""COMPUTED_VALUE"""),"2 tusks +7 (1d12)")</f>
        <v>2 tusks +7 (1d12)</v>
      </c>
      <c r="H11" s="11" t="str">
        <f>IFERROR(__xludf.DUMMYFUNCTION("""COMPUTED_VALUE"""),"near")</f>
        <v>near</v>
      </c>
      <c r="I11" s="11">
        <f>IFERROR(__xludf.DUMMYFUNCTION("""COMPUTED_VALUE"""),5.0)</f>
        <v>5</v>
      </c>
      <c r="J11" s="11">
        <f>IFERROR(__xludf.DUMMYFUNCTION("""COMPUTED_VALUE"""),0.0)</f>
        <v>0</v>
      </c>
      <c r="K11" s="11">
        <f>IFERROR(__xludf.DUMMYFUNCTION("""COMPUTED_VALUE"""),4.0)</f>
        <v>4</v>
      </c>
      <c r="L11" s="11">
        <f>IFERROR(__xludf.DUMMYFUNCTION("""COMPUTED_VALUE"""),-2.0)</f>
        <v>-2</v>
      </c>
      <c r="M11" s="11">
        <f>IFERROR(__xludf.DUMMYFUNCTION("""COMPUTED_VALUE"""),1.0)</f>
        <v>1</v>
      </c>
      <c r="N11" s="11">
        <f>IFERROR(__xludf.DUMMYFUNCTION("""COMPUTED_VALUE"""),0.0)</f>
        <v>0</v>
      </c>
      <c r="O11" s="11" t="str">
        <f>IFERROR(__xludf.DUMMYFUNCTION("""COMPUTED_VALUE"""),"N")</f>
        <v>N</v>
      </c>
      <c r="P11" s="13">
        <f>IFERROR(__xludf.DUMMYFUNCTION("""COMPUTED_VALUE"""),9.0)</f>
        <v>9</v>
      </c>
      <c r="Q11" s="11" t="str">
        <f>IFERROR(__xludf.DUMMYFUNCTION("""COMPUTED_VALUE"""),"Thick Fur. Cold immune.")</f>
        <v>Thick Fur. Cold immune.</v>
      </c>
      <c r="R11" s="11" t="str">
        <f>IFERROR(__xludf.DUMMYFUNCTION("""COMPUTED_VALUE"""),"Charge. Move up to double near in straight line and make 1 tusks attack. If hit, x3 damage.")</f>
        <v>Charge. Move up to double near in straight line and make 1 tusks attack. If hit, x3 damage.</v>
      </c>
      <c r="S11" s="11"/>
      <c r="T11" s="11"/>
      <c r="U11" s="11"/>
      <c r="V11" s="11"/>
      <c r="W11" s="11"/>
      <c r="X11" s="11"/>
      <c r="Y11" s="11"/>
      <c r="Z11" s="11"/>
      <c r="AA11" s="11"/>
      <c r="AB11" s="11"/>
    </row>
    <row r="12" ht="15.75" customHeight="1">
      <c r="A12" s="11" t="str">
        <f>IFERROR(__xludf.DUMMYFUNCTION("""COMPUTED_VALUE"""),"Naga")</f>
        <v>Naga</v>
      </c>
      <c r="B12" s="12">
        <f>IFERROR(__xludf.DUMMYFUNCTION("""COMPUTED_VALUE"""),8.0)</f>
        <v>8</v>
      </c>
      <c r="C12" s="11" t="str">
        <f>IFERROR(__xludf.DUMMYFUNCTION("""COMPUTED_VALUE"""),"CR")</f>
        <v>CR</v>
      </c>
      <c r="D12" s="11" t="str">
        <f>IFERROR(__xludf.DUMMYFUNCTION("""COMPUTED_VALUE"""),"Magic-wielding cobras towering ten feet high.")</f>
        <v>Magic-wielding cobras towering ten feet high.</v>
      </c>
      <c r="E12" s="11">
        <f>IFERROR(__xludf.DUMMYFUNCTION("""COMPUTED_VALUE"""),16.0)</f>
        <v>16</v>
      </c>
      <c r="F12" s="11">
        <f>IFERROR(__xludf.DUMMYFUNCTION("""COMPUTED_VALUE"""),43.0)</f>
        <v>43</v>
      </c>
      <c r="G12" s="11" t="str">
        <f>IFERROR(__xludf.DUMMYFUNCTION("""COMPUTED_VALUE"""),"2 bite +7")</f>
        <v>2 bite +7</v>
      </c>
      <c r="H12" s="11" t="str">
        <f>IFERROR(__xludf.DUMMYFUNCTION("""COMPUTED_VALUE"""),"near (climb)")</f>
        <v>near (climb)</v>
      </c>
      <c r="I12" s="11">
        <f>IFERROR(__xludf.DUMMYFUNCTION("""COMPUTED_VALUE"""),4.0)</f>
        <v>4</v>
      </c>
      <c r="J12" s="11">
        <f>IFERROR(__xludf.DUMMYFUNCTION("""COMPUTED_VALUE"""),1.0)</f>
        <v>1</v>
      </c>
      <c r="K12" s="11">
        <f>IFERROR(__xludf.DUMMYFUNCTION("""COMPUTED_VALUE"""),3.0)</f>
        <v>3</v>
      </c>
      <c r="L12" s="11">
        <f>IFERROR(__xludf.DUMMYFUNCTION("""COMPUTED_VALUE"""),2.0)</f>
        <v>2</v>
      </c>
      <c r="M12" s="11">
        <f>IFERROR(__xludf.DUMMYFUNCTION("""COMPUTED_VALUE"""),2.0)</f>
        <v>2</v>
      </c>
      <c r="N12" s="11">
        <f>IFERROR(__xludf.DUMMYFUNCTION("""COMPUTED_VALUE"""),4.0)</f>
        <v>4</v>
      </c>
      <c r="O12" s="11" t="str">
        <f>IFERROR(__xludf.DUMMYFUNCTION("""COMPUTED_VALUE"""),"C")</f>
        <v>C</v>
      </c>
      <c r="P12" s="13">
        <f>IFERROR(__xludf.DUMMYFUNCTION("""COMPUTED_VALUE"""),9.0)</f>
        <v>9</v>
      </c>
      <c r="Q12" s="11" t="str">
        <f>IFERROR(__xludf.DUMMYFUNCTION("""COMPUTED_VALUE"""),"Poison. DC 15 CON or paralyzed 1d4 rounds.")</f>
        <v>Poison. DC 15 CON or paralyzed 1d4 rounds.</v>
      </c>
      <c r="R12" s="11" t="str">
        <f>IFERROR(__xludf.DUMMYFUNCTION("""COMPUTED_VALUE"""),"Agony (CHA Spell). DC 14. One target in near takes 3d8 damage.")</f>
        <v>Agony (CHA Spell). DC 14. One target in near takes 3d8 damage.</v>
      </c>
      <c r="S12" s="11" t="str">
        <f>IFERROR(__xludf.DUMMYFUNCTION("""COMPUTED_VALUE"""),"Hypnotize (CHA Spell). DC 13. Focus. One target in near range who can see naga is helplessly stupefied for duration.")</f>
        <v>Hypnotize (CHA Spell). DC 13. Focus. One target in near range who can see naga is helplessly stupefied for duration.</v>
      </c>
      <c r="T12" s="11" t="str">
        <f>IFERROR(__xludf.DUMMYFUNCTION("""COMPUTED_VALUE"""),"Whispers (CHA Spell). DC 12. Hostile spells cast on one target in near are DC 9 for 1d4 rounds.")</f>
        <v>Whispers (CHA Spell). DC 12. Hostile spells cast on one target in near are DC 9 for 1d4 rounds.</v>
      </c>
      <c r="U12" s="11"/>
      <c r="V12" s="11"/>
      <c r="W12" s="11"/>
      <c r="X12" s="11"/>
      <c r="Y12" s="11"/>
      <c r="Z12" s="11"/>
      <c r="AA12" s="11"/>
      <c r="AB12" s="11"/>
    </row>
    <row r="13" ht="15.75" customHeight="1">
      <c r="A13" s="11" t="str">
        <f>IFERROR(__xludf.DUMMYFUNCTION("""COMPUTED_VALUE"""),"Outsider, Rime Walker")</f>
        <v>Outsider, Rime Walker</v>
      </c>
      <c r="B13" s="12" t="str">
        <f>IFERROR(__xludf.DUMMYFUNCTION("""COMPUTED_VALUE"""),"")</f>
        <v/>
      </c>
      <c r="C13" s="11" t="str">
        <f>IFERROR(__xludf.DUMMYFUNCTION("""COMPUTED_VALUE"""),"CR")</f>
        <v>CR</v>
      </c>
      <c r="D13" s="11" t="str">
        <f>IFERROR(__xludf.DUMMYFUNCTION("""COMPUTED_VALUE"""),"Human-shaped beings formed from black space ice. Their eyes are two flickering, white lights.")</f>
        <v>Human-shaped beings formed from black space ice. Their eyes are two flickering, white lights.</v>
      </c>
      <c r="E13" s="11">
        <f>IFERROR(__xludf.DUMMYFUNCTION("""COMPUTED_VALUE"""),16.0)</f>
        <v>16</v>
      </c>
      <c r="F13" s="11">
        <f>IFERROR(__xludf.DUMMYFUNCTION("""COMPUTED_VALUE"""),43.0)</f>
        <v>43</v>
      </c>
      <c r="G13" s="11" t="str">
        <f>IFERROR(__xludf.DUMMYFUNCTION("""COMPUTED_VALUE"""),"4 claw +8 (1d12)")</f>
        <v>4 claw +8 (1d12)</v>
      </c>
      <c r="H13" s="11" t="str">
        <f>IFERROR(__xludf.DUMMYFUNCTION("""COMPUTED_VALUE"""),"near (fly)")</f>
        <v>near (fly)</v>
      </c>
      <c r="I13" s="11">
        <f>IFERROR(__xludf.DUMMYFUNCTION("""COMPUTED_VALUE"""),4.0)</f>
        <v>4</v>
      </c>
      <c r="J13" s="11">
        <f>IFERROR(__xludf.DUMMYFUNCTION("""COMPUTED_VALUE"""),4.0)</f>
        <v>4</v>
      </c>
      <c r="K13" s="11">
        <f>IFERROR(__xludf.DUMMYFUNCTION("""COMPUTED_VALUE"""),3.0)</f>
        <v>3</v>
      </c>
      <c r="L13" s="11">
        <f>IFERROR(__xludf.DUMMYFUNCTION("""COMPUTED_VALUE"""),2.0)</f>
        <v>2</v>
      </c>
      <c r="M13" s="11">
        <f>IFERROR(__xludf.DUMMYFUNCTION("""COMPUTED_VALUE"""),2.0)</f>
        <v>2</v>
      </c>
      <c r="N13" s="11">
        <f>IFERROR(__xludf.DUMMYFUNCTION("""COMPUTED_VALUE"""),2.0)</f>
        <v>2</v>
      </c>
      <c r="O13" s="11" t="str">
        <f>IFERROR(__xludf.DUMMYFUNCTION("""COMPUTED_VALUE"""),"C")</f>
        <v>C</v>
      </c>
      <c r="P13" s="13">
        <f>IFERROR(__xludf.DUMMYFUNCTION("""COMPUTED_VALUE"""),9.0)</f>
        <v>9</v>
      </c>
      <c r="Q13" s="14" t="str">
        <f>IFERROR(__xludf.DUMMYFUNCTION("""COMPUTED_VALUE"""),"Impervious. Immune to cold.")</f>
        <v>Impervious. Immune to cold.</v>
      </c>
      <c r="R13" s="14" t="str">
        <f>IFERROR(__xludf.DUMMYFUNCTION("""COMPUTED_VALUE"""),"Ice Aura. Enemies within near of rime walker DC 12 CON or lose action")</f>
        <v>Ice Aura. Enemies within near of rime walker DC 12 CON or lose action</v>
      </c>
      <c r="S13" s="14"/>
      <c r="T13" s="14"/>
      <c r="U13" s="14"/>
      <c r="V13" s="14"/>
      <c r="W13" s="11"/>
      <c r="X13" s="11"/>
      <c r="Y13" s="11"/>
      <c r="Z13" s="11"/>
      <c r="AA13" s="11"/>
      <c r="AB13" s="11"/>
    </row>
    <row r="14" ht="15.75" customHeight="1">
      <c r="A14" s="11" t="str">
        <f>IFERROR(__xludf.DUMMYFUNCTION("""COMPUTED_VALUE"""),"Sphinx")</f>
        <v>Sphinx</v>
      </c>
      <c r="B14" s="12">
        <f>IFERROR(__xludf.DUMMYFUNCTION("""COMPUTED_VALUE"""),11.0)</f>
        <v>11</v>
      </c>
      <c r="C14" s="11" t="str">
        <f>IFERROR(__xludf.DUMMYFUNCTION("""COMPUTED_VALUE"""),"CR")</f>
        <v>CR</v>
      </c>
      <c r="D14" s="11" t="str">
        <f>IFERROR(__xludf.DUMMYFUNCTION("""COMPUTED_VALUE"""),"A winged, leonine oracle who can see into time and space and often speaks in riddles. Lives in isolated mountains.")</f>
        <v>A winged, leonine oracle who can see into time and space and often speaks in riddles. Lives in isolated mountains.</v>
      </c>
      <c r="E14" s="11">
        <f>IFERROR(__xludf.DUMMYFUNCTION("""COMPUTED_VALUE"""),16.0)</f>
        <v>16</v>
      </c>
      <c r="F14" s="11">
        <f>IFERROR(__xludf.DUMMYFUNCTION("""COMPUTED_VALUE"""),42.0)</f>
        <v>42</v>
      </c>
      <c r="G14" s="11" t="str">
        <f>IFERROR(__xludf.DUMMYFUNCTION("""COMPUTED_VALUE"""),"3 claw +7 (1d10) or 2 spell +5")</f>
        <v>3 claw +7 (1d10) or 2 spell +5</v>
      </c>
      <c r="H14" s="11" t="str">
        <f>IFERROR(__xludf.DUMMYFUNCTION("""COMPUTED_VALUE"""),"double near (fly)")</f>
        <v>double near (fly)</v>
      </c>
      <c r="I14" s="11">
        <f>IFERROR(__xludf.DUMMYFUNCTION("""COMPUTED_VALUE"""),4.0)</f>
        <v>4</v>
      </c>
      <c r="J14" s="11">
        <f>IFERROR(__xludf.DUMMYFUNCTION("""COMPUTED_VALUE"""),1.0)</f>
        <v>1</v>
      </c>
      <c r="K14" s="11">
        <f>IFERROR(__xludf.DUMMYFUNCTION("""COMPUTED_VALUE"""),2.0)</f>
        <v>2</v>
      </c>
      <c r="L14" s="11">
        <f>IFERROR(__xludf.DUMMYFUNCTION("""COMPUTED_VALUE"""),4.0)</f>
        <v>4</v>
      </c>
      <c r="M14" s="11">
        <f>IFERROR(__xludf.DUMMYFUNCTION("""COMPUTED_VALUE"""),4.0)</f>
        <v>4</v>
      </c>
      <c r="N14" s="11">
        <f>IFERROR(__xludf.DUMMYFUNCTION("""COMPUTED_VALUE"""),3.0)</f>
        <v>3</v>
      </c>
      <c r="O14" s="11" t="str">
        <f>IFERROR(__xludf.DUMMYFUNCTION("""COMPUTED_VALUE"""),"L")</f>
        <v>L</v>
      </c>
      <c r="P14" s="13">
        <f>IFERROR(__xludf.DUMMYFUNCTION("""COMPUTED_VALUE"""),9.0)</f>
        <v>9</v>
      </c>
      <c r="Q14" s="11" t="str">
        <f>IFERROR(__xludf.DUMMYFUNCTION("""COMPUTED_VALUE"""),"Roar. In place of attacks, all creatures who can hear within far DC 18 CHA or paralyzed 1d4 rounds.")</f>
        <v>Roar. In place of attacks, all creatures who can hear within far DC 18 CHA or paralyzed 1d4 rounds.</v>
      </c>
      <c r="R14" s="11" t="str">
        <f>IFERROR(__xludf.DUMMYFUNCTION("""COMPUTED_VALUE"""),"Gate (WIS Spell). DC 14. Open a portal at a point within near to another location on any plane. Lasts 1d6 rounds or until dismissed.")</f>
        <v>Gate (WIS Spell). DC 14. Open a portal at a point within near to another location on any plane. Lasts 1d6 rounds or until dismissed.</v>
      </c>
      <c r="S14" s="11" t="str">
        <f>IFERROR(__xludf.DUMMYFUNCTION("""COMPUTED_VALUE"""),"Omens (WIS Spell). DC 12. Self. ADV on all actions for 1d4 rounds.")</f>
        <v>Omens (WIS Spell). DC 12. Self. ADV on all actions for 1d4 rounds.</v>
      </c>
      <c r="T14" s="11" t="str">
        <f>IFERROR(__xludf.DUMMYFUNCTION("""COMPUTED_VALUE"""),"Riddle (WIS Spell). DC 12. One target in far DC 15 INT or stupefied 1d4 rounds.")</f>
        <v>Riddle (WIS Spell). DC 12. One target in far DC 15 INT or stupefied 1d4 rounds.</v>
      </c>
      <c r="U14" s="11" t="str">
        <f>IFERROR(__xludf.DUMMYFUNCTION("""COMPUTED_VALUE"""),"Time Bend (WIS Spell). DC 14. One target in near frozen in time for 1d4 rounds.")</f>
        <v>Time Bend (WIS Spell). DC 14. One target in near frozen in time for 1d4 rounds.</v>
      </c>
      <c r="V14" s="11" t="str">
        <f>IFERROR(__xludf.DUMMYFUNCTION("""COMPUTED_VALUE"""),"Unmake (WIS Spell). DC 13. One target in far takes 3d8 damage.")</f>
        <v>Unmake (WIS Spell). DC 13. One target in far takes 3d8 damage.</v>
      </c>
      <c r="W14" s="11"/>
      <c r="X14" s="11"/>
      <c r="Y14" s="11"/>
      <c r="Z14" s="11"/>
      <c r="AA14" s="11"/>
      <c r="AB14" s="11"/>
    </row>
    <row r="15" ht="15.75" customHeight="1">
      <c r="A15" s="11" t="str">
        <f>IFERROR(__xludf.DUMMYFUNCTION("""COMPUTED_VALUE"""),"Archmage")</f>
        <v>Archmage</v>
      </c>
      <c r="B15" s="12">
        <f>IFERROR(__xludf.DUMMYFUNCTION("""COMPUTED_VALUE"""),12.0)</f>
        <v>12</v>
      </c>
      <c r="C15" s="11" t="str">
        <f>IFERROR(__xludf.DUMMYFUNCTION("""COMPUTED_VALUE"""),"CR")</f>
        <v>CR</v>
      </c>
      <c r="D15" s="11" t="str">
        <f>IFERROR(__xludf.DUMMYFUNCTION("""COMPUTED_VALUE"""),"A wizened magic-user crackling with arcane power.")</f>
        <v>A wizened magic-user crackling with arcane power.</v>
      </c>
      <c r="E15" s="11">
        <f>IFERROR(__xludf.DUMMYFUNCTION("""COMPUTED_VALUE"""),12.0)</f>
        <v>12</v>
      </c>
      <c r="F15" s="11">
        <f>IFERROR(__xludf.DUMMYFUNCTION("""COMPUTED_VALUE"""),44.0)</f>
        <v>44</v>
      </c>
      <c r="G15" s="11" t="str">
        <f>IFERROR(__xludf.DUMMYFUNCTION("""COMPUTED_VALUE"""),"2 spell +7")</f>
        <v>2 spell +7</v>
      </c>
      <c r="H15" s="11" t="str">
        <f>IFERROR(__xludf.DUMMYFUNCTION("""COMPUTED_VALUE"""),"near")</f>
        <v>near</v>
      </c>
      <c r="I15" s="11">
        <f>IFERROR(__xludf.DUMMYFUNCTION("""COMPUTED_VALUE"""),-1.0)</f>
        <v>-1</v>
      </c>
      <c r="J15" s="11">
        <f>IFERROR(__xludf.DUMMYFUNCTION("""COMPUTED_VALUE"""),2.0)</f>
        <v>2</v>
      </c>
      <c r="K15" s="11">
        <f>IFERROR(__xludf.DUMMYFUNCTION("""COMPUTED_VALUE"""),-1.0)</f>
        <v>-1</v>
      </c>
      <c r="L15" s="11">
        <f>IFERROR(__xludf.DUMMYFUNCTION("""COMPUTED_VALUE"""),4.0)</f>
        <v>4</v>
      </c>
      <c r="M15" s="11">
        <f>IFERROR(__xludf.DUMMYFUNCTION("""COMPUTED_VALUE"""),2.0)</f>
        <v>2</v>
      </c>
      <c r="N15" s="11">
        <f>IFERROR(__xludf.DUMMYFUNCTION("""COMPUTED_VALUE"""),1.0)</f>
        <v>1</v>
      </c>
      <c r="O15" s="11" t="str">
        <f>IFERROR(__xludf.DUMMYFUNCTION("""COMPUTED_VALUE"""),"L")</f>
        <v>L</v>
      </c>
      <c r="P15" s="13">
        <f>IFERROR(__xludf.DUMMYFUNCTION("""COMPUTED_VALUE"""),10.0)</f>
        <v>10</v>
      </c>
      <c r="Q15" s="11" t="str">
        <f>IFERROR(__xludf.DUMMYFUNCTION("""COMPUTED_VALUE"""),"Death Bolt (INT Spell). DC 15. One target of LV 9 or less within near DC 15 CON or go to 0 HP.")</f>
        <v>Death Bolt (INT Spell). DC 15. One target of LV 9 or less within near DC 15 CON or go to 0 HP.</v>
      </c>
      <c r="R15" s="11" t="str">
        <f>IFERROR(__xludf.DUMMYFUNCTION("""COMPUTED_VALUE"""),"Enervate (INT Spell). DC 14. Focus. One target within near is stupefied for the duration.")</f>
        <v>Enervate (INT Spell). DC 14. Focus. One target within near is stupefied for the duration.</v>
      </c>
      <c r="S15" s="11" t="str">
        <f>IFERROR(__xludf.DUMMYFUNCTION("""COMPUTED_VALUE"""),"Fireblast (INT Spell). DC 14. 4d6 damage to all within a near-sized cube within far.")</f>
        <v>Fireblast (INT Spell). DC 14. 4d6 damage to all within a near-sized cube within far.</v>
      </c>
      <c r="T15" s="11" t="str">
        <f>IFERROR(__xludf.DUMMYFUNCTION("""COMPUTED_VALUE"""),"Float (INT Spell). Self. DC 14. Fly double near for 5 rounds. ")</f>
        <v>Float (INT Spell). Self. DC 14. Fly double near for 5 rounds. </v>
      </c>
      <c r="U15" s="11" t="str">
        <f>IFERROR(__xludf.DUMMYFUNCTION("""COMPUTED_VALUE"""),"Mithralskin (INT Spell). Self. DC 14. AC becomes 18 for 5 rounds. ")</f>
        <v>Mithralskin (INT Spell). Self. DC 14. AC becomes 18 for 5 rounds. </v>
      </c>
      <c r="V15" s="11" t="str">
        <f>IFERROR(__xludf.DUMMYFUNCTION("""COMPUTED_VALUE"""),"Void Step (INT Spell). Self and up to 4 willing targets. DC 15. Teleport up to 100 miles.")</f>
        <v>Void Step (INT Spell). Self and up to 4 willing targets. DC 15. Teleport up to 100 miles.</v>
      </c>
      <c r="W15" s="11"/>
      <c r="X15" s="11"/>
      <c r="Y15" s="11"/>
      <c r="Z15" s="11"/>
      <c r="AA15" s="11"/>
      <c r="AB15" s="11"/>
    </row>
    <row r="16" ht="15.75" customHeight="1">
      <c r="A16" s="11" t="str">
        <f>IFERROR(__xludf.DUMMYFUNCTION("""COMPUTED_VALUE"""),"Chimera")</f>
        <v>Chimera</v>
      </c>
      <c r="B16" s="12">
        <f>IFERROR(__xludf.DUMMYFUNCTION("""COMPUTED_VALUE"""),6.0)</f>
        <v>6</v>
      </c>
      <c r="C16" s="11" t="str">
        <f>IFERROR(__xludf.DUMMYFUNCTION("""COMPUTED_VALUE"""),"CR")</f>
        <v>CR</v>
      </c>
      <c r="D16" s="11" t="str">
        <f>IFERROR(__xludf.DUMMYFUNCTION("""COMPUTED_VALUE"""),"A monstrous beast with a half-goat, half-lion body, wide dragon wings, and the heads of a goat, lion, and dragon.")</f>
        <v>A monstrous beast with a half-goat, half-lion body, wide dragon wings, and the heads of a goat, lion, and dragon.</v>
      </c>
      <c r="E16" s="11">
        <f>IFERROR(__xludf.DUMMYFUNCTION("""COMPUTED_VALUE"""),16.0)</f>
        <v>16</v>
      </c>
      <c r="F16" s="11">
        <f>IFERROR(__xludf.DUMMYFUNCTION("""COMPUTED_VALUE"""),49.0)</f>
        <v>49</v>
      </c>
      <c r="G16" s="11" t="str">
        <f>IFERROR(__xludf.DUMMYFUNCTION("""COMPUTED_VALUE"""),"4 rend +7 (2d8) and 1 fire breath")</f>
        <v>4 rend +7 (2d8) and 1 fire breath</v>
      </c>
      <c r="H16" s="11" t="str">
        <f>IFERROR(__xludf.DUMMYFUNCTION("""COMPUTED_VALUE"""),"double near (fly)")</f>
        <v>double near (fly)</v>
      </c>
      <c r="I16" s="11">
        <f>IFERROR(__xludf.DUMMYFUNCTION("""COMPUTED_VALUE"""),5.0)</f>
        <v>5</v>
      </c>
      <c r="J16" s="11">
        <f>IFERROR(__xludf.DUMMYFUNCTION("""COMPUTED_VALUE"""),4.0)</f>
        <v>4</v>
      </c>
      <c r="K16" s="11">
        <f>IFERROR(__xludf.DUMMYFUNCTION("""COMPUTED_VALUE"""),4.0)</f>
        <v>4</v>
      </c>
      <c r="L16" s="11">
        <f>IFERROR(__xludf.DUMMYFUNCTION("""COMPUTED_VALUE"""),-3.0)</f>
        <v>-3</v>
      </c>
      <c r="M16" s="11">
        <f>IFERROR(__xludf.DUMMYFUNCTION("""COMPUTED_VALUE"""),2.0)</f>
        <v>2</v>
      </c>
      <c r="N16" s="11">
        <f>IFERROR(__xludf.DUMMYFUNCTION("""COMPUTED_VALUE"""),-1.0)</f>
        <v>-1</v>
      </c>
      <c r="O16" s="11" t="str">
        <f>IFERROR(__xludf.DUMMYFUNCTION("""COMPUTED_VALUE"""),"C")</f>
        <v>C</v>
      </c>
      <c r="P16" s="13">
        <f>IFERROR(__xludf.DUMMYFUNCTION("""COMPUTED_VALUE"""),10.0)</f>
        <v>10</v>
      </c>
      <c r="Q16" s="11" t="str">
        <f>IFERROR(__xludf.DUMMYFUNCTION("""COMPUTED_VALUE"""),"Fire Breath. Fills a near-sized cube extending from chimera. DC 15 DEX or 4d6 damage.")</f>
        <v>Fire Breath. Fills a near-sized cube extending from chimera. DC 15 DEX or 4d6 damage.</v>
      </c>
      <c r="R16" s="11"/>
      <c r="S16" s="11"/>
      <c r="T16" s="11"/>
      <c r="U16" s="11"/>
      <c r="V16" s="11"/>
      <c r="W16" s="11"/>
      <c r="X16" s="11"/>
      <c r="Y16" s="11"/>
      <c r="Z16" s="11"/>
      <c r="AA16" s="11"/>
      <c r="AB16" s="11"/>
    </row>
    <row r="17" ht="15.75" customHeight="1">
      <c r="A17" s="11" t="str">
        <f>IFERROR(__xludf.DUMMYFUNCTION("""COMPUTED_VALUE"""),"Djinni")</f>
        <v>Djinni</v>
      </c>
      <c r="B17" s="12">
        <f>IFERROR(__xludf.DUMMYFUNCTION("""COMPUTED_VALUE"""),11.0)</f>
        <v>11</v>
      </c>
      <c r="C17" s="11" t="str">
        <f>IFERROR(__xludf.DUMMYFUNCTION("""COMPUTED_VALUE"""),"CR")</f>
        <v>CR</v>
      </c>
      <c r="D17" s="11" t="str">
        <f>IFERROR(__xludf.DUMMYFUNCTION("""COMPUTED_VALUE"""),"Azure-blue, jovial humanoids made of air and wind")</f>
        <v>Azure-blue, jovial humanoids made of air and wind</v>
      </c>
      <c r="E17" s="11">
        <f>IFERROR(__xludf.DUMMYFUNCTION("""COMPUTED_VALUE"""),14.0)</f>
        <v>14</v>
      </c>
      <c r="F17" s="11">
        <f>IFERROR(__xludf.DUMMYFUNCTION("""COMPUTED_VALUE"""),48.0)</f>
        <v>48</v>
      </c>
      <c r="G17" s="11" t="str">
        <f>IFERROR(__xludf.DUMMYFUNCTION("""COMPUTED_VALUE"""),"3 scimitar +7 (1d12) or 1 whirlwind")</f>
        <v>3 scimitar +7 (1d12) or 1 whirlwind</v>
      </c>
      <c r="H17" s="11" t="str">
        <f>IFERROR(__xludf.DUMMYFUNCTION("""COMPUTED_VALUE"""),"double near (fly)")</f>
        <v>double near (fly)</v>
      </c>
      <c r="I17" s="11">
        <f>IFERROR(__xludf.DUMMYFUNCTION("""COMPUTED_VALUE"""),4.0)</f>
        <v>4</v>
      </c>
      <c r="J17" s="11">
        <f>IFERROR(__xludf.DUMMYFUNCTION("""COMPUTED_VALUE"""),4.0)</f>
        <v>4</v>
      </c>
      <c r="K17" s="11">
        <f>IFERROR(__xludf.DUMMYFUNCTION("""COMPUTED_VALUE"""),3.0)</f>
        <v>3</v>
      </c>
      <c r="L17" s="11">
        <f>IFERROR(__xludf.DUMMYFUNCTION("""COMPUTED_VALUE"""),4.0)</f>
        <v>4</v>
      </c>
      <c r="M17" s="11">
        <f>IFERROR(__xludf.DUMMYFUNCTION("""COMPUTED_VALUE"""),3.0)</f>
        <v>3</v>
      </c>
      <c r="N17" s="11">
        <f>IFERROR(__xludf.DUMMYFUNCTION("""COMPUTED_VALUE"""),3.0)</f>
        <v>3</v>
      </c>
      <c r="O17" s="11" t="str">
        <f>IFERROR(__xludf.DUMMYFUNCTION("""COMPUTED_VALUE"""),"N")</f>
        <v>N</v>
      </c>
      <c r="P17" s="13">
        <f>IFERROR(__xludf.DUMMYFUNCTION("""COMPUTED_VALUE"""),10.0)</f>
        <v>10</v>
      </c>
      <c r="Q17" s="11" t="str">
        <f>IFERROR(__xludf.DUMMYFUNCTION("""COMPUTED_VALUE"""),"Impervious. Only damaged by magical sources.")</f>
        <v>Impervious. Only damaged by magical sources.</v>
      </c>
      <c r="R17" s="11" t="str">
        <f>IFERROR(__xludf.DUMMYFUNCTION("""COMPUTED_VALUE"""),"Whirlwind. Transform into a lashing tornado. All enemies within near DC 18 DEX or thrown 2d100 feet in a random direction.")</f>
        <v>Whirlwind. Transform into a lashing tornado. All enemies within near DC 18 DEX or thrown 2d100 feet in a random direction.</v>
      </c>
      <c r="S17" s="11" t="str">
        <f>IFERROR(__xludf.DUMMYFUNCTION("""COMPUTED_VALUE"""),"Wish. Cast wish once per week for a mortal without making a spellcasting check.")</f>
        <v>Wish. Cast wish once per week for a mortal without making a spellcasting check.</v>
      </c>
      <c r="T17" s="11"/>
      <c r="U17" s="11"/>
      <c r="V17" s="11"/>
      <c r="W17" s="11"/>
      <c r="X17" s="11"/>
      <c r="Y17" s="11"/>
      <c r="Z17" s="11"/>
      <c r="AA17" s="11"/>
      <c r="AB17" s="11"/>
    </row>
    <row r="18" ht="15.75" customHeight="1">
      <c r="A18" s="11" t="str">
        <f>IFERROR(__xludf.DUMMYFUNCTION("""COMPUTED_VALUE"""),"Giant, Cloud")</f>
        <v>Giant, Cloud</v>
      </c>
      <c r="B18" s="12">
        <f>IFERROR(__xludf.DUMMYFUNCTION("""COMPUTED_VALUE"""),9.0)</f>
        <v>9</v>
      </c>
      <c r="C18" s="11" t="str">
        <f>IFERROR(__xludf.DUMMYFUNCTION("""COMPUTED_VALUE"""),"CR")</f>
        <v>CR</v>
      </c>
      <c r="D18" s="11" t="str">
        <f>IFERROR(__xludf.DUMMYFUNCTION("""COMPUTED_VALUE"""),"Pale, angular giants with blue-gray hair, light eyes, and silk robes. They do not allow outsiders into their enclaves.")</f>
        <v>Pale, angular giants with blue-gray hair, light eyes, and silk robes. They do not allow outsiders into their enclaves.</v>
      </c>
      <c r="E18" s="11">
        <f>IFERROR(__xludf.DUMMYFUNCTION("""COMPUTED_VALUE"""),15.0)</f>
        <v>15</v>
      </c>
      <c r="F18" s="11">
        <f>IFERROR(__xludf.DUMMYFUNCTION("""COMPUTED_VALUE"""),48.0)</f>
        <v>48</v>
      </c>
      <c r="G18" s="11" t="str">
        <f>IFERROR(__xludf.DUMMYFUNCTION("""COMPUTED_VALUE"""),"3 morningstar +9 (2d10)")</f>
        <v>3 morningstar +9 (2d10)</v>
      </c>
      <c r="H18" s="11" t="str">
        <f>IFERROR(__xludf.DUMMYFUNCTION("""COMPUTED_VALUE"""),"double near")</f>
        <v>double near</v>
      </c>
      <c r="I18" s="11">
        <f>IFERROR(__xludf.DUMMYFUNCTION("""COMPUTED_VALUE"""),5.0)</f>
        <v>5</v>
      </c>
      <c r="J18" s="11">
        <f>IFERROR(__xludf.DUMMYFUNCTION("""COMPUTED_VALUE"""),4.0)</f>
        <v>4</v>
      </c>
      <c r="K18" s="11">
        <f>IFERROR(__xludf.DUMMYFUNCTION("""COMPUTED_VALUE"""),3.0)</f>
        <v>3</v>
      </c>
      <c r="L18" s="11">
        <f>IFERROR(__xludf.DUMMYFUNCTION("""COMPUTED_VALUE"""),3.0)</f>
        <v>3</v>
      </c>
      <c r="M18" s="11">
        <f>IFERROR(__xludf.DUMMYFUNCTION("""COMPUTED_VALUE"""),3.0)</f>
        <v>3</v>
      </c>
      <c r="N18" s="11">
        <f>IFERROR(__xludf.DUMMYFUNCTION("""COMPUTED_VALUE"""),3.0)</f>
        <v>3</v>
      </c>
      <c r="O18" s="11" t="str">
        <f>IFERROR(__xludf.DUMMYFUNCTION("""COMPUTED_VALUE"""),"N")</f>
        <v>N</v>
      </c>
      <c r="P18" s="13">
        <f>IFERROR(__xludf.DUMMYFUNCTION("""COMPUTED_VALUE"""),10.0)</f>
        <v>10</v>
      </c>
      <c r="Q18" s="11" t="str">
        <f>IFERROR(__xludf.DUMMYFUNCTION("""COMPUTED_VALUE"""),"Alert. ADV on checks to detect sneaking or hiding creatures.")</f>
        <v>Alert. ADV on checks to detect sneaking or hiding creatures.</v>
      </c>
      <c r="R18" s="11"/>
      <c r="S18" s="11"/>
      <c r="T18" s="11"/>
      <c r="U18" s="11"/>
      <c r="V18" s="11"/>
      <c r="W18" s="11"/>
      <c r="X18" s="11"/>
      <c r="Y18" s="11"/>
      <c r="Z18" s="11"/>
      <c r="AA18" s="11"/>
      <c r="AB18" s="11"/>
    </row>
    <row r="19" ht="15.75" customHeight="1">
      <c r="A19" s="11" t="str">
        <f>IFERROR(__xludf.DUMMYFUNCTION("""COMPUTED_VALUE"""),"Golem, Iron")</f>
        <v>Golem, Iron</v>
      </c>
      <c r="B19" s="12">
        <f>IFERROR(__xludf.DUMMYFUNCTION("""COMPUTED_VALUE"""),16.0)</f>
        <v>16</v>
      </c>
      <c r="C19" s="11" t="str">
        <f>IFERROR(__xludf.DUMMYFUNCTION("""COMPUTED_VALUE"""),"CR")</f>
        <v>CR</v>
      </c>
      <c r="D19" s="11" t="str">
        <f>IFERROR(__xludf.DUMMYFUNCTION("""COMPUTED_VALUE"""),"A bulky iron suit that squeals and sparks with each step")</f>
        <v>A bulky iron suit that squeals and sparks with each step</v>
      </c>
      <c r="E19" s="11">
        <f>IFERROR(__xludf.DUMMYFUNCTION("""COMPUTED_VALUE"""),19.0)</f>
        <v>19</v>
      </c>
      <c r="F19" s="11">
        <f>IFERROR(__xludf.DUMMYFUNCTION("""COMPUTED_VALUE"""),49.0)</f>
        <v>49</v>
      </c>
      <c r="G19" s="11" t="str">
        <f>IFERROR(__xludf.DUMMYFUNCTION("""COMPUTED_VALUE"""),"3 slam +8 (2d8)")</f>
        <v>3 slam +8 (2d8)</v>
      </c>
      <c r="H19" s="11" t="str">
        <f>IFERROR(__xludf.DUMMYFUNCTION("""COMPUTED_VALUE"""),"near")</f>
        <v>near</v>
      </c>
      <c r="I19" s="11">
        <f>IFERROR(__xludf.DUMMYFUNCTION("""COMPUTED_VALUE"""),5.0)</f>
        <v>5</v>
      </c>
      <c r="J19" s="11">
        <f>IFERROR(__xludf.DUMMYFUNCTION("""COMPUTED_VALUE"""),-1.0)</f>
        <v>-1</v>
      </c>
      <c r="K19" s="11">
        <f>IFERROR(__xludf.DUMMYFUNCTION("""COMPUTED_VALUE"""),4.0)</f>
        <v>4</v>
      </c>
      <c r="L19" s="11">
        <f>IFERROR(__xludf.DUMMYFUNCTION("""COMPUTED_VALUE"""),-2.0)</f>
        <v>-2</v>
      </c>
      <c r="M19" s="11">
        <f>IFERROR(__xludf.DUMMYFUNCTION("""COMPUTED_VALUE"""),0.0)</f>
        <v>0</v>
      </c>
      <c r="N19" s="11">
        <f>IFERROR(__xludf.DUMMYFUNCTION("""COMPUTED_VALUE"""),-2.0)</f>
        <v>-2</v>
      </c>
      <c r="O19" s="11" t="str">
        <f>IFERROR(__xludf.DUMMYFUNCTION("""COMPUTED_VALUE"""),"N")</f>
        <v>N</v>
      </c>
      <c r="P19" s="13">
        <f>IFERROR(__xludf.DUMMYFUNCTION("""COMPUTED_VALUE"""),10.0)</f>
        <v>10</v>
      </c>
      <c r="Q19" s="11" t="str">
        <f>IFERROR(__xludf.DUMMYFUNCTION("""COMPUTED_VALUE"""),"Golem. Immune to damage from cold or non-magical sources. Healed by fire.")</f>
        <v>Golem. Immune to damage from cold or non-magical sources. Healed by fire.</v>
      </c>
      <c r="R19" s="11" t="str">
        <f>IFERROR(__xludf.DUMMYFUNCTION("""COMPUTED_VALUE"""),"Poison Breath. All within near, DC 15 CON or 8d6 damage.")</f>
        <v>Poison Breath. All within near, DC 15 CON or 8d6 damage.</v>
      </c>
      <c r="S19" s="11"/>
      <c r="T19" s="11"/>
      <c r="U19" s="11"/>
      <c r="V19" s="11"/>
      <c r="W19" s="11"/>
      <c r="X19" s="11"/>
      <c r="Y19" s="11"/>
      <c r="Z19" s="11"/>
      <c r="AA19" s="11"/>
      <c r="AB19" s="11"/>
    </row>
    <row r="20" ht="15.75" customHeight="1">
      <c r="A20" s="11" t="str">
        <f>IFERROR(__xludf.DUMMYFUNCTION("""COMPUTED_VALUE"""),"Mummy")</f>
        <v>Mummy</v>
      </c>
      <c r="B20" s="12">
        <f>IFERROR(__xludf.DUMMYFUNCTION("""COMPUTED_VALUE"""),3.0)</f>
        <v>3</v>
      </c>
      <c r="C20" s="11" t="str">
        <f>IFERROR(__xludf.DUMMYFUNCTION("""COMPUTED_VALUE"""),"CR")</f>
        <v>CR</v>
      </c>
      <c r="D20" s="11" t="str">
        <f>IFERROR(__xludf.DUMMYFUNCTION("""COMPUTED_VALUE"""),"A desiccated, linen-wrapped zombie.")</f>
        <v>A desiccated, linen-wrapped zombie.</v>
      </c>
      <c r="E20" s="11">
        <f>IFERROR(__xludf.DUMMYFUNCTION("""COMPUTED_VALUE"""),13.0)</f>
        <v>13</v>
      </c>
      <c r="F20" s="11">
        <f>IFERROR(__xludf.DUMMYFUNCTION("""COMPUTED_VALUE"""),47.0)</f>
        <v>47</v>
      </c>
      <c r="G20" s="11" t="str">
        <f>IFERROR(__xludf.DUMMYFUNCTION("""COMPUTED_VALUE"""),"3 rot touch +8")</f>
        <v>3 rot touch +8</v>
      </c>
      <c r="H20" s="11" t="str">
        <f>IFERROR(__xludf.DUMMYFUNCTION("""COMPUTED_VALUE"""),"near")</f>
        <v>near</v>
      </c>
      <c r="I20" s="11">
        <f>IFERROR(__xludf.DUMMYFUNCTION("""COMPUTED_VALUE"""),3.0)</f>
        <v>3</v>
      </c>
      <c r="J20" s="11">
        <f>IFERROR(__xludf.DUMMYFUNCTION("""COMPUTED_VALUE"""),0.0)</f>
        <v>0</v>
      </c>
      <c r="K20" s="11">
        <f>IFERROR(__xludf.DUMMYFUNCTION("""COMPUTED_VALUE"""),2.0)</f>
        <v>2</v>
      </c>
      <c r="L20" s="11">
        <f>IFERROR(__xludf.DUMMYFUNCTION("""COMPUTED_VALUE"""),3.0)</f>
        <v>3</v>
      </c>
      <c r="M20" s="11">
        <f>IFERROR(__xludf.DUMMYFUNCTION("""COMPUTED_VALUE"""),2.0)</f>
        <v>2</v>
      </c>
      <c r="N20" s="11">
        <f>IFERROR(__xludf.DUMMYFUNCTION("""COMPUTED_VALUE"""),3.0)</f>
        <v>3</v>
      </c>
      <c r="O20" s="11" t="str">
        <f>IFERROR(__xludf.DUMMYFUNCTION("""COMPUTED_VALUE"""),"C")</f>
        <v>C</v>
      </c>
      <c r="P20" s="13">
        <f>IFERROR(__xludf.DUMMYFUNCTION("""COMPUTED_VALUE"""),10.0)</f>
        <v>10</v>
      </c>
      <c r="Q20" s="11" t="str">
        <f>IFERROR(__xludf.DUMMYFUNCTION("""COMPUTED_VALUE"""),"Supreme Undead. Immune to morale checks. Only damaged by magical sources.")</f>
        <v>Supreme Undead. Immune to morale checks. Only damaged by magical sources.</v>
      </c>
      <c r="R20" s="11" t="str">
        <f>IFERROR(__xludf.DUMMYFUNCTION("""COMPUTED_VALUE"""),"Dessicated. Can be damaged by fire. Takes x2 damage from it.")</f>
        <v>Dessicated. Can be damaged by fire. Takes x2 damage from it.</v>
      </c>
      <c r="S20" s="11" t="str">
        <f>IFERROR(__xludf.DUMMYFUNCTION("""COMPUTED_VALUE"""),"Necrosis. DC 15 CON or drop to 0 HP. Healing spells are DC 15 to cast on target while affected by necrosis.")</f>
        <v>Necrosis. DC 15 CON or drop to 0 HP. Healing spells are DC 15 to cast on target while affected by necrosis.</v>
      </c>
      <c r="T20" s="11"/>
      <c r="U20" s="11"/>
      <c r="V20" s="11"/>
      <c r="W20" s="11"/>
      <c r="X20" s="11"/>
      <c r="Y20" s="11"/>
      <c r="Z20" s="11"/>
      <c r="AA20" s="11"/>
      <c r="AB20" s="11"/>
    </row>
    <row r="21" ht="15.75" customHeight="1">
      <c r="A21" s="11" t="str">
        <f>IFERROR(__xludf.DUMMYFUNCTION("""COMPUTED_VALUE"""),"Remorhaz")</f>
        <v>Remorhaz</v>
      </c>
      <c r="B21" s="12">
        <f>IFERROR(__xludf.DUMMYFUNCTION("""COMPUTED_VALUE"""),11.0)</f>
        <v>11</v>
      </c>
      <c r="C21" s="11" t="str">
        <f>IFERROR(__xludf.DUMMYFUNCTION("""COMPUTED_VALUE"""),"CR")</f>
        <v>CR</v>
      </c>
      <c r="D21" s="11" t="str">
        <f>IFERROR(__xludf.DUMMYFUNCTION("""COMPUTED_VALUE"""),"Massive, blue centipedes with neck hoods and red-hot spine spikes. Dwell in arctic climates.")</f>
        <v>Massive, blue centipedes with neck hoods and red-hot spine spikes. Dwell in arctic climates.</v>
      </c>
      <c r="E21" s="11">
        <f>IFERROR(__xludf.DUMMYFUNCTION("""COMPUTED_VALUE"""),16.0)</f>
        <v>16</v>
      </c>
      <c r="F21" s="11">
        <f>IFERROR(__xludf.DUMMYFUNCTION("""COMPUTED_VALUE"""),47.0)</f>
        <v>47</v>
      </c>
      <c r="G21" s="11" t="str">
        <f>IFERROR(__xludf.DUMMYFUNCTION("""COMPUTED_VALUE"""),"3 bite +7 (2d6 + swallow)")</f>
        <v>3 bite +7 (2d6 + swallow)</v>
      </c>
      <c r="H21" s="11" t="str">
        <f>IFERROR(__xludf.DUMMYFUNCTION("""COMPUTED_VALUE"""),"near (burrow)")</f>
        <v>near (burrow)</v>
      </c>
      <c r="I21" s="11">
        <f>IFERROR(__xludf.DUMMYFUNCTION("""COMPUTED_VALUE"""),5.0)</f>
        <v>5</v>
      </c>
      <c r="J21" s="11">
        <f>IFERROR(__xludf.DUMMYFUNCTION("""COMPUTED_VALUE"""),1.0)</f>
        <v>1</v>
      </c>
      <c r="K21" s="11">
        <f>IFERROR(__xludf.DUMMYFUNCTION("""COMPUTED_VALUE"""),2.0)</f>
        <v>2</v>
      </c>
      <c r="L21" s="11">
        <f>IFERROR(__xludf.DUMMYFUNCTION("""COMPUTED_VALUE"""),-3.0)</f>
        <v>-3</v>
      </c>
      <c r="M21" s="11">
        <f>IFERROR(__xludf.DUMMYFUNCTION("""COMPUTED_VALUE"""),1.0)</f>
        <v>1</v>
      </c>
      <c r="N21" s="11">
        <f>IFERROR(__xludf.DUMMYFUNCTION("""COMPUTED_VALUE"""),-3.0)</f>
        <v>-3</v>
      </c>
      <c r="O21" s="11" t="str">
        <f>IFERROR(__xludf.DUMMYFUNCTION("""COMPUTED_VALUE"""),"N")</f>
        <v>N</v>
      </c>
      <c r="P21" s="13">
        <f>IFERROR(__xludf.DUMMYFUNCTION("""COMPUTED_VALUE"""),10.0)</f>
        <v>10</v>
      </c>
      <c r="Q21" s="11" t="str">
        <f>IFERROR(__xludf.DUMMYFUNCTION("""COMPUTED_VALUE"""),"Impervious. Immune to cold and fire.")</f>
        <v>Impervious. Immune to cold and fire.</v>
      </c>
      <c r="R21" s="11" t="str">
        <f>IFERROR(__xludf.DUMMYFUNCTION("""COMPUTED_VALUE"""),"Melt. Non-magical metal objects that touch the remorhaz melt on a d6 roll of 1-3.")</f>
        <v>Melt. Non-magical metal objects that touch the remorhaz melt on a d6 roll of 1-3.</v>
      </c>
      <c r="S21" s="11" t="str">
        <f>IFERROR(__xludf.DUMMYFUNCTION("""COMPUTED_VALUE"""),"Swallow. On a natural attack roll of 18-20, target is swallowed. Total darkness inside and 2d10 damage per round. Remorhaz regurgitates all swallowed if dealt at least 20 damage in one round to the inside of its gullet.")</f>
        <v>Swallow. On a natural attack roll of 18-20, target is swallowed. Total darkness inside and 2d10 damage per round. Remorhaz regurgitates all swallowed if dealt at least 20 damage in one round to the inside of its gullet.</v>
      </c>
      <c r="T21" s="11"/>
      <c r="U21" s="11"/>
      <c r="V21" s="11"/>
      <c r="W21" s="11"/>
      <c r="X21" s="11"/>
      <c r="Y21" s="11"/>
      <c r="Z21" s="11"/>
      <c r="AA21" s="11"/>
      <c r="AB21" s="11"/>
    </row>
  </sheetData>
  <customSheetViews>
    <customSheetView guid="{5CDEC3B1-201F-4BAD-941F-A80E62A04015}" filter="1" showAutoFilter="1">
      <autoFilter ref="$A$1:$AB$21">
        <filterColumn colId="2">
          <filters/>
        </filterColumn>
      </autoFilter>
    </customSheetView>
    <customSheetView guid="{7904D927-A127-473C-8B57-4EE1C7E3FAE9}" filter="1" showAutoFilter="1">
      <autoFilter ref="$A$1:$AB$21">
        <filterColumn colId="2">
          <filters/>
        </filterColumn>
      </autoFilter>
    </customSheetView>
    <customSheetView guid="{51DCF084-7C01-403C-9896-1E7742DCA6B3}" filter="1" showAutoFilter="1">
      <autoFilter ref="$A$1:$AB$21"/>
    </customSheetView>
    <customSheetView guid="{7B4FF760-C879-4C05-8F10-45D59B7E7C3E}" filter="1" showAutoFilter="1">
      <autoFilter ref="$A$1:$AB$21">
        <filterColumn colId="2">
          <filters/>
        </filterColumn>
      </autoFilter>
    </customSheetView>
    <customSheetView guid="{6B2E9E35-D6A1-4749-95F2-2658A691119A}" filter="1" showAutoFilter="1">
      <autoFilter ref="$A$1:$AB$21">
        <filterColumn colId="2">
          <filters/>
        </filterColumn>
      </autoFilter>
    </customSheetView>
    <customSheetView guid="{4FEF9F0C-4236-4853-B093-88FE2289FD26}" filter="1" showAutoFilter="1">
      <autoFilter ref="$A$1:$AB$21">
        <filterColumn colId="2">
          <filters>
            <filter val="CR"/>
          </filters>
        </filterColumn>
      </autoFilter>
    </customSheetView>
  </customSheetView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IFERROR(__xludf.DUMMYFUNCTION("SORT(
  FILTER(All!A5:Z1000, (All!P5:P1000 &gt;= 11) * (All!P5:P1000 &lt;= 16)),
  16, TRUE,
  1, TRUE
)
"),"Angel, Principi")</f>
        <v>Angel, Principi</v>
      </c>
      <c r="B2" s="12">
        <f>IFERROR(__xludf.DUMMYFUNCTION("""COMPUTED_VALUE"""),21.0)</f>
        <v>21</v>
      </c>
      <c r="C2" s="11" t="str">
        <f>IFERROR(__xludf.DUMMYFUNCTION("""COMPUTED_VALUE"""),"CR")</f>
        <v>CR</v>
      </c>
      <c r="D2" s="11" t="str">
        <f>IFERROR(__xludf.DUMMYFUNCTION("""COMPUTED_VALUE"""),"Serene humans sculpted from alabaster. Golden orbs for eyes.")</f>
        <v>Serene humans sculpted from alabaster. Golden orbs for eyes.</v>
      </c>
      <c r="E2" s="11" t="str">
        <f>IFERROR(__xludf.DUMMYFUNCTION("""COMPUTED_VALUE"""),"16 (+1 plate mail)")</f>
        <v>16 (+1 plate mail)</v>
      </c>
      <c r="F2" s="11">
        <f>IFERROR(__xludf.DUMMYFUNCTION("""COMPUTED_VALUE"""),53.0)</f>
        <v>53</v>
      </c>
      <c r="G2" s="11" t="str">
        <f>IFERROR(__xludf.DUMMYFUNCTION("""COMPUTED_VALUE"""),"3 silvered bastard sword +9 (1d10)")</f>
        <v>3 silvered bastard sword +9 (1d10)</v>
      </c>
      <c r="H2" s="11" t="str">
        <f>IFERROR(__xludf.DUMMYFUNCTION("""COMPUTED_VALUE"""),"double near (fly)")</f>
        <v>double near (fly)</v>
      </c>
      <c r="I2" s="11">
        <f>IFERROR(__xludf.DUMMYFUNCTION("""COMPUTED_VALUE"""),4.0)</f>
        <v>4</v>
      </c>
      <c r="J2" s="11">
        <f>IFERROR(__xludf.DUMMYFUNCTION("""COMPUTED_VALUE"""),2.0)</f>
        <v>2</v>
      </c>
      <c r="K2" s="11">
        <f>IFERROR(__xludf.DUMMYFUNCTION("""COMPUTED_VALUE"""),4.0)</f>
        <v>4</v>
      </c>
      <c r="L2" s="11">
        <f>IFERROR(__xludf.DUMMYFUNCTION("""COMPUTED_VALUE"""),4.0)</f>
        <v>4</v>
      </c>
      <c r="M2" s="11">
        <f>IFERROR(__xludf.DUMMYFUNCTION("""COMPUTED_VALUE"""),4.0)</f>
        <v>4</v>
      </c>
      <c r="N2" s="11">
        <f>IFERROR(__xludf.DUMMYFUNCTION("""COMPUTED_VALUE"""),4.0)</f>
        <v>4</v>
      </c>
      <c r="O2" s="11" t="str">
        <f>IFERROR(__xludf.DUMMYFUNCTION("""COMPUTED_VALUE"""),"L")</f>
        <v>L</v>
      </c>
      <c r="P2" s="13">
        <f>IFERROR(__xludf.DUMMYFUNCTION("""COMPUTED_VALUE"""),11.0)</f>
        <v>11</v>
      </c>
      <c r="Q2" s="11" t="str">
        <f>IFERROR(__xludf.DUMMYFUNCTION("""COMPUTED_VALUE"""),"Moonlight Aura: Hostile spells targeting the principi are DC 15.")</f>
        <v>Moonlight Aura: Hostile spells targeting the principi are DC 15.</v>
      </c>
      <c r="R2" s="11" t="str">
        <f>IFERROR(__xludf.DUMMYFUNCTION("""COMPUTED_VALUE"""),"Truesight: Can see all invisible creatures and objects.")</f>
        <v>Truesight: Can see all invisible creatures and objects.</v>
      </c>
      <c r="S2" s="11"/>
      <c r="T2" s="11"/>
      <c r="U2" s="11"/>
      <c r="V2" s="11"/>
      <c r="W2" s="11"/>
      <c r="X2" s="11"/>
      <c r="Y2" s="11"/>
      <c r="Z2" s="11"/>
      <c r="AA2" s="11"/>
      <c r="AB2" s="11"/>
    </row>
    <row r="3" ht="15.75" customHeight="1">
      <c r="A3" s="11" t="str">
        <f>IFERROR(__xludf.DUMMYFUNCTION("""COMPUTED_VALUE"""),"Vampire")</f>
        <v>Vampire</v>
      </c>
      <c r="B3" s="12">
        <f>IFERROR(__xludf.DUMMYFUNCTION("""COMPUTED_VALUE"""),13.0)</f>
        <v>13</v>
      </c>
      <c r="C3" s="11" t="str">
        <f>IFERROR(__xludf.DUMMYFUNCTION("""COMPUTED_VALUE"""),"CR")</f>
        <v>CR</v>
      </c>
      <c r="D3" s="11" t="str">
        <f>IFERROR(__xludf.DUMMYFUNCTION("""COMPUTED_VALUE"""),"Pale, blood-drinking undead of supreme power and wickedness. They loathe sunlight and protect")</f>
        <v>Pale, blood-drinking undead of supreme power and wickedness. They loathe sunlight and protect</v>
      </c>
      <c r="E3" s="11">
        <f>IFERROR(__xludf.DUMMYFUNCTION("""COMPUTED_VALUE"""),15.0)</f>
        <v>15</v>
      </c>
      <c r="F3" s="11">
        <f>IFERROR(__xludf.DUMMYFUNCTION("""COMPUTED_VALUE"""),52.0)</f>
        <v>52</v>
      </c>
      <c r="G3" s="11" t="str">
        <f>IFERROR(__xludf.DUMMYFUNCTION("""COMPUTED_VALUE"""),"3 bite +7 (1d8 + blood drain) or 1 charm")</f>
        <v>3 bite +7 (1d8 + blood drain) or 1 charm</v>
      </c>
      <c r="H3" s="11" t="str">
        <f>IFERROR(__xludf.DUMMYFUNCTION("""COMPUTED_VALUE"""),"near (climb)")</f>
        <v>near (climb)</v>
      </c>
      <c r="I3" s="11">
        <f>IFERROR(__xludf.DUMMYFUNCTION("""COMPUTED_VALUE"""),4.0)</f>
        <v>4</v>
      </c>
      <c r="J3" s="11">
        <f>IFERROR(__xludf.DUMMYFUNCTION("""COMPUTED_VALUE"""),3.0)</f>
        <v>3</v>
      </c>
      <c r="K3" s="11">
        <f>IFERROR(__xludf.DUMMYFUNCTION("""COMPUTED_VALUE"""),3.0)</f>
        <v>3</v>
      </c>
      <c r="L3" s="11">
        <f>IFERROR(__xludf.DUMMYFUNCTION("""COMPUTED_VALUE"""),1.0)</f>
        <v>1</v>
      </c>
      <c r="M3" s="11">
        <f>IFERROR(__xludf.DUMMYFUNCTION("""COMPUTED_VALUE"""),3.0)</f>
        <v>3</v>
      </c>
      <c r="N3" s="11">
        <f>IFERROR(__xludf.DUMMYFUNCTION("""COMPUTED_VALUE"""),4.0)</f>
        <v>4</v>
      </c>
      <c r="O3" s="11" t="str">
        <f>IFERROR(__xludf.DUMMYFUNCTION("""COMPUTED_VALUE"""),"C")</f>
        <v>C</v>
      </c>
      <c r="P3" s="13">
        <f>IFERROR(__xludf.DUMMYFUNCTION("""COMPUTED_VALUE"""),11.0)</f>
        <v>11</v>
      </c>
      <c r="Q3" s="11" t="str">
        <f>IFERROR(__xludf.DUMMYFUNCTION("""COMPUTED_VALUE"""),"Supreme Undead. Immune to morale checks. Only damaged by magical sources.")</f>
        <v>Supreme Undead. Immune to morale checks. Only damaged by magical sources.</v>
      </c>
      <c r="R3" s="11" t="str">
        <f>IFERROR(__xludf.DUMMYFUNCTION("""COMPUTED_VALUE"""),"Blood Drain. Vampire heals 2d6 HP and target loses 1d4 CON. At 0 CON, target dies and rises as a")</f>
        <v>Blood Drain. Vampire heals 2d6 HP and target loses 1d4 CON. At 0 CON, target dies and rises as a</v>
      </c>
      <c r="S3" s="11" t="str">
        <f>IFERROR(__xludf.DUMMYFUNCTION("""COMPUTED_VALUE"""),"Charm. One humanoid target who can see vampire within near, DC 15 CHA or under vampire's control")</f>
        <v>Charm. One humanoid target who can see vampire within near, DC 15 CHA or under vampire's control</v>
      </c>
      <c r="T3" s="11" t="str">
        <f>IFERROR(__xludf.DUMMYFUNCTION("""COMPUTED_VALUE"""),"Shapechange. In place of attacks, turn into a bat, wolf, or back into regular form.")</f>
        <v>Shapechange. In place of attacks, turn into a bat, wolf, or back into regular form.</v>
      </c>
      <c r="U3" s="11" t="str">
        <f>IFERROR(__xludf.DUMMYFUNCTION("""COMPUTED_VALUE"""),"Vampire. Must sleep in a coffin daily or loses 2d6 HP each day that can't be healed until resting in coffin. Takes 3d8 damage each round while in direct sunlight. Cannot be killed unless pierced through heart with a wooden stake while at 0 HP.")</f>
        <v>Vampire. Must sleep in a coffin daily or loses 2d6 HP each day that can't be healed until resting in coffin. Takes 3d8 damage each round while in direct sunlight. Cannot be killed unless pierced through heart with a wooden stake while at 0 HP.</v>
      </c>
      <c r="V3" s="11"/>
      <c r="W3" s="11"/>
      <c r="X3" s="11"/>
      <c r="Y3" s="11"/>
      <c r="Z3" s="11"/>
      <c r="AA3" s="11"/>
      <c r="AB3" s="11"/>
    </row>
    <row r="4" ht="15.75" customHeight="1">
      <c r="A4" s="11" t="str">
        <f>IFERROR(__xludf.DUMMYFUNCTION("""COMPUTED_VALUE"""),"Dinosaur, Brachiosaurus")</f>
        <v>Dinosaur, Brachiosaurus</v>
      </c>
      <c r="B4" s="12">
        <f>IFERROR(__xludf.DUMMYFUNCTION("""COMPUTED_VALUE"""),5.0)</f>
        <v>5</v>
      </c>
      <c r="C4" s="11" t="str">
        <f>IFERROR(__xludf.DUMMYFUNCTION("""COMPUTED_VALUE"""),"CR")</f>
        <v>CR</v>
      </c>
      <c r="D4" s="11" t="str">
        <f>IFERROR(__xludf.DUMMYFUNCTION("""COMPUTED_VALUE"""),"Colossal, long-necked tree grazers. Slow and peaceful.")</f>
        <v>Colossal, long-necked tree grazers. Slow and peaceful.</v>
      </c>
      <c r="E4" s="11">
        <f>IFERROR(__xludf.DUMMYFUNCTION("""COMPUTED_VALUE"""),13.0)</f>
        <v>13</v>
      </c>
      <c r="F4" s="11">
        <f>IFERROR(__xludf.DUMMYFUNCTION("""COMPUTED_VALUE"""),57.0)</f>
        <v>57</v>
      </c>
      <c r="G4" s="11" t="str">
        <f>IFERROR(__xludf.DUMMYFUNCTION("""COMPUTED_VALUE"""),"3 stomp +7 (2d10)")</f>
        <v>3 stomp +7 (2d10)</v>
      </c>
      <c r="H4" s="11" t="str">
        <f>IFERROR(__xludf.DUMMYFUNCTION("""COMPUTED_VALUE"""),"double near")</f>
        <v>double near</v>
      </c>
      <c r="I4" s="11">
        <f>IFERROR(__xludf.DUMMYFUNCTION("""COMPUTED_VALUE"""),6.0)</f>
        <v>6</v>
      </c>
      <c r="J4" s="11">
        <f>IFERROR(__xludf.DUMMYFUNCTION("""COMPUTED_VALUE"""),-1.0)</f>
        <v>-1</v>
      </c>
      <c r="K4" s="11">
        <f>IFERROR(__xludf.DUMMYFUNCTION("""COMPUTED_VALUE"""),3.0)</f>
        <v>3</v>
      </c>
      <c r="L4" s="11">
        <f>IFERROR(__xludf.DUMMYFUNCTION("""COMPUTED_VALUE"""),-3.0)</f>
        <v>-3</v>
      </c>
      <c r="M4" s="11">
        <f>IFERROR(__xludf.DUMMYFUNCTION("""COMPUTED_VALUE"""),1.0)</f>
        <v>1</v>
      </c>
      <c r="N4" s="11">
        <f>IFERROR(__xludf.DUMMYFUNCTION("""COMPUTED_VALUE"""),-3.0)</f>
        <v>-3</v>
      </c>
      <c r="O4" s="11" t="str">
        <f>IFERROR(__xludf.DUMMYFUNCTION("""COMPUTED_VALUE"""),"N")</f>
        <v>N</v>
      </c>
      <c r="P4" s="13">
        <f>IFERROR(__xludf.DUMMYFUNCTION("""COMPUTED_VALUE"""),12.0)</f>
        <v>12</v>
      </c>
      <c r="Q4" s="11"/>
      <c r="R4" s="11"/>
      <c r="S4" s="11"/>
      <c r="T4" s="11"/>
      <c r="U4" s="11"/>
      <c r="V4" s="11"/>
      <c r="W4" s="11"/>
      <c r="X4" s="11"/>
      <c r="Y4" s="11"/>
      <c r="Z4" s="11"/>
      <c r="AA4" s="11"/>
      <c r="AB4" s="11"/>
    </row>
    <row r="5" ht="15.75" customHeight="1">
      <c r="A5" s="11" t="str">
        <f>IFERROR(__xludf.DUMMYFUNCTION("""COMPUTED_VALUE"""),"Dragon, Forest")</f>
        <v>Dragon, Forest</v>
      </c>
      <c r="B5" s="12" t="str">
        <f>IFERROR(__xludf.DUMMYFUNCTION("""COMPUTED_VALUE"""),"")</f>
        <v/>
      </c>
      <c r="C5" s="11" t="str">
        <f>IFERROR(__xludf.DUMMYFUNCTION("""COMPUTED_VALUE"""),"CR")</f>
        <v>CR</v>
      </c>
      <c r="D5" s="11" t="str">
        <f>IFERROR(__xludf.DUMMYFUNCTION("""COMPUTED_VALUE"""),"The smell of wet loam follows this dragon. Its jade scales bristle with barbed thorns.")</f>
        <v>The smell of wet loam follows this dragon. Its jade scales bristle with barbed thorns.</v>
      </c>
      <c r="E5" s="11">
        <f>IFERROR(__xludf.DUMMYFUNCTION("""COMPUTED_VALUE"""),16.0)</f>
        <v>16</v>
      </c>
      <c r="F5" s="11">
        <f>IFERROR(__xludf.DUMMYFUNCTION("""COMPUTED_VALUE"""),58.0)</f>
        <v>58</v>
      </c>
      <c r="G5" s="11" t="str">
        <f>IFERROR(__xludf.DUMMYFUNCTION("""COMPUTED_VALUE"""),"3 rend +8 (2d8) or 1 poison breath")</f>
        <v>3 rend +8 (2d8) or 1 poison breath</v>
      </c>
      <c r="H5" s="11" t="str">
        <f>IFERROR(__xludf.DUMMYFUNCTION("""COMPUTED_VALUE"""),"double near (fly)")</f>
        <v>double near (fly)</v>
      </c>
      <c r="I5" s="11">
        <f>IFERROR(__xludf.DUMMYFUNCTION("""COMPUTED_VALUE"""),4.0)</f>
        <v>4</v>
      </c>
      <c r="J5" s="11">
        <f>IFERROR(__xludf.DUMMYFUNCTION("""COMPUTED_VALUE"""),3.0)</f>
        <v>3</v>
      </c>
      <c r="K5" s="11">
        <f>IFERROR(__xludf.DUMMYFUNCTION("""COMPUTED_VALUE"""),4.0)</f>
        <v>4</v>
      </c>
      <c r="L5" s="11">
        <f>IFERROR(__xludf.DUMMYFUNCTION("""COMPUTED_VALUE"""),3.0)</f>
        <v>3</v>
      </c>
      <c r="M5" s="11">
        <f>IFERROR(__xludf.DUMMYFUNCTION("""COMPUTED_VALUE"""),3.0)</f>
        <v>3</v>
      </c>
      <c r="N5" s="11">
        <f>IFERROR(__xludf.DUMMYFUNCTION("""COMPUTED_VALUE"""),4.0)</f>
        <v>4</v>
      </c>
      <c r="O5" s="11" t="str">
        <f>IFERROR(__xludf.DUMMYFUNCTION("""COMPUTED_VALUE"""),"N")</f>
        <v>N</v>
      </c>
      <c r="P5" s="13">
        <f>IFERROR(__xludf.DUMMYFUNCTION("""COMPUTED_VALUE"""),12.0)</f>
        <v>12</v>
      </c>
      <c r="Q5" s="11" t="str">
        <f>IFERROR(__xludf.DUMMYFUNCTION("""COMPUTED_VALUE"""),"Animate Plants. 1/day, in place of attacks. Vines grab at all enemies within double near of dragon. DC 15 DEX or unable to move 1d4 rounds.")</f>
        <v>Animate Plants. 1/day, in place of attacks. Vines grab at all enemies within double near of dragon. DC 15 DEX or unable to move 1d4 rounds.</v>
      </c>
      <c r="R5" s="11" t="str">
        <f>IFERROR(__xludf.DUMMYFUNCTION("""COMPUTED_VALUE"""),"Poison Breath. Fills a near-sized cube extending from dragon. DC 15 CON or 3d8 damage.")</f>
        <v>Poison Breath. Fills a near-sized cube extending from dragon. DC 15 CON or 3d8 damage.</v>
      </c>
      <c r="S5" s="11"/>
      <c r="T5" s="11"/>
      <c r="U5" s="11"/>
      <c r="V5" s="11"/>
      <c r="W5" s="11"/>
      <c r="X5" s="11"/>
      <c r="Y5" s="11"/>
      <c r="Z5" s="11"/>
      <c r="AA5" s="11"/>
      <c r="AB5" s="11"/>
    </row>
    <row r="6" ht="15.75" customHeight="1">
      <c r="A6" s="11" t="str">
        <f>IFERROR(__xludf.DUMMYFUNCTION("""COMPUTED_VALUE"""),"Dragon, Swamp")</f>
        <v>Dragon, Swamp</v>
      </c>
      <c r="B6" s="12" t="str">
        <f>IFERROR(__xludf.DUMMYFUNCTION("""COMPUTED_VALUE"""),"")</f>
        <v/>
      </c>
      <c r="C6" s="11" t="str">
        <f>IFERROR(__xludf.DUMMYFUNCTION("""COMPUTED_VALUE"""),"CR")</f>
        <v>CR</v>
      </c>
      <c r="D6" s="11" t="str">
        <f>IFERROR(__xludf.DUMMYFUNCTION("""COMPUTED_VALUE"""),"This black, wingless beast slithers through dank swamps.")</f>
        <v>This black, wingless beast slithers through dank swamps.</v>
      </c>
      <c r="E6" s="11">
        <f>IFERROR(__xludf.DUMMYFUNCTION("""COMPUTED_VALUE"""),16.0)</f>
        <v>16</v>
      </c>
      <c r="F6" s="11">
        <f>IFERROR(__xludf.DUMMYFUNCTION("""COMPUTED_VALUE"""),58.0)</f>
        <v>58</v>
      </c>
      <c r="G6" s="11" t="str">
        <f>IFERROR(__xludf.DUMMYFUNCTION("""COMPUTED_VALUE"""),"3 rend +8 (2d10) or 1 smog breath")</f>
        <v>3 rend +8 (2d10) or 1 smog breath</v>
      </c>
      <c r="H6" s="11" t="str">
        <f>IFERROR(__xludf.DUMMYFUNCTION("""COMPUTED_VALUE"""),"double near (burrow, swim)")</f>
        <v>double near (burrow, swim)</v>
      </c>
      <c r="I6" s="11">
        <f>IFERROR(__xludf.DUMMYFUNCTION("""COMPUTED_VALUE"""),5.0)</f>
        <v>5</v>
      </c>
      <c r="J6" s="11">
        <f>IFERROR(__xludf.DUMMYFUNCTION("""COMPUTED_VALUE"""),3.0)</f>
        <v>3</v>
      </c>
      <c r="K6" s="11">
        <f>IFERROR(__xludf.DUMMYFUNCTION("""COMPUTED_VALUE"""),4.0)</f>
        <v>4</v>
      </c>
      <c r="L6" s="11">
        <f>IFERROR(__xludf.DUMMYFUNCTION("""COMPUTED_VALUE"""),4.0)</f>
        <v>4</v>
      </c>
      <c r="M6" s="11">
        <f>IFERROR(__xludf.DUMMYFUNCTION("""COMPUTED_VALUE"""),3.0)</f>
        <v>3</v>
      </c>
      <c r="N6" s="11">
        <f>IFERROR(__xludf.DUMMYFUNCTION("""COMPUTED_VALUE"""),3.0)</f>
        <v>3</v>
      </c>
      <c r="O6" s="11" t="str">
        <f>IFERROR(__xludf.DUMMYFUNCTION("""COMPUTED_VALUE"""),"C")</f>
        <v>C</v>
      </c>
      <c r="P6" s="13">
        <f>IFERROR(__xludf.DUMMYFUNCTION("""COMPUTED_VALUE"""),12.0)</f>
        <v>12</v>
      </c>
      <c r="Q6" s="11" t="str">
        <f>IFERROR(__xludf.DUMMYFUNCTION("""COMPUTED_VALUE"""),"Smog Breath. Fills a near-sized cube extending from dragon. DC 15 CON or 2d10 damage and blinded for 1 round.")</f>
        <v>Smog Breath. Fills a near-sized cube extending from dragon. DC 15 CON or 2d10 damage and blinded for 1 round.</v>
      </c>
      <c r="R6" s="11"/>
      <c r="S6" s="11"/>
      <c r="T6" s="11"/>
      <c r="U6" s="11"/>
      <c r="V6" s="11"/>
      <c r="W6" s="11"/>
      <c r="X6" s="11"/>
      <c r="Y6" s="11"/>
      <c r="Z6" s="11"/>
      <c r="AA6" s="11"/>
      <c r="AB6" s="11"/>
    </row>
    <row r="7" ht="15.75" customHeight="1">
      <c r="A7" s="11" t="str">
        <f>IFERROR(__xludf.DUMMYFUNCTION("""COMPUTED_VALUE"""),"Giant, Storm")</f>
        <v>Giant, Storm</v>
      </c>
      <c r="B7" s="12" t="str">
        <f>IFERROR(__xludf.DUMMYFUNCTION("""COMPUTED_VALUE"""),"")</f>
        <v/>
      </c>
      <c r="C7" s="11" t="str">
        <f>IFERROR(__xludf.DUMMYFUNCTION("""COMPUTED_VALUE"""),"CR")</f>
        <v>CR</v>
      </c>
      <c r="D7" s="11" t="str">
        <f>IFERROR(__xludf.DUMMYFUNCTION("""COMPUTED_VALUE"""),"Regal titans with sea-green skin, flowing white hair, and thundering voices. They breathe water as easily as air.")</f>
        <v>Regal titans with sea-green skin, flowing white hair, and thundering voices. They breathe water as easily as air.</v>
      </c>
      <c r="E7" s="11">
        <f>IFERROR(__xludf.DUMMYFUNCTION("""COMPUTED_VALUE"""),15.0)</f>
        <v>15</v>
      </c>
      <c r="F7" s="11">
        <f>IFERROR(__xludf.DUMMYFUNCTION("""COMPUTED_VALUE"""),58.0)</f>
        <v>58</v>
      </c>
      <c r="G7" s="11" t="str">
        <f>IFERROR(__xludf.DUMMYFUNCTION("""COMPUTED_VALUE"""),"3 greatsword +10 (2d12) or 1 lightning bolt")</f>
        <v>3 greatsword +10 (2d12) or 1 lightning bolt</v>
      </c>
      <c r="H7" s="11" t="str">
        <f>IFERROR(__xludf.DUMMYFUNCTION("""COMPUTED_VALUE"""),"double near (swim)")</f>
        <v>double near (swim)</v>
      </c>
      <c r="I7" s="11">
        <f>IFERROR(__xludf.DUMMYFUNCTION("""COMPUTED_VALUE"""),6.0)</f>
        <v>6</v>
      </c>
      <c r="J7" s="11">
        <f>IFERROR(__xludf.DUMMYFUNCTION("""COMPUTED_VALUE"""),2.0)</f>
        <v>2</v>
      </c>
      <c r="K7" s="11">
        <f>IFERROR(__xludf.DUMMYFUNCTION("""COMPUTED_VALUE"""),4.0)</f>
        <v>4</v>
      </c>
      <c r="L7" s="11">
        <f>IFERROR(__xludf.DUMMYFUNCTION("""COMPUTED_VALUE"""),3.0)</f>
        <v>3</v>
      </c>
      <c r="M7" s="11">
        <f>IFERROR(__xludf.DUMMYFUNCTION("""COMPUTED_VALUE"""),4.0)</f>
        <v>4</v>
      </c>
      <c r="N7" s="11">
        <f>IFERROR(__xludf.DUMMYFUNCTION("""COMPUTED_VALUE"""),4.0)</f>
        <v>4</v>
      </c>
      <c r="O7" s="11" t="str">
        <f>IFERROR(__xludf.DUMMYFUNCTION("""COMPUTED_VALUE"""),"L")</f>
        <v>L</v>
      </c>
      <c r="P7" s="13">
        <f>IFERROR(__xludf.DUMMYFUNCTION("""COMPUTED_VALUE"""),12.0)</f>
        <v>12</v>
      </c>
      <c r="Q7" s="11" t="str">
        <f>IFERROR(__xludf.DUMMYFUNCTION("""COMPUTED_VALUE"""),"Stormblood. Electricity immune.")</f>
        <v>Stormblood. Electricity immune.</v>
      </c>
      <c r="R7" s="11" t="str">
        <f>IFERROR(__xludf.DUMMYFUNCTION("""COMPUTED_VALUE"""),"Lightning Bolt. 3/day, 5' wide line extending far from giant. All creatures in line DC 15 DEX or 5d10 damage. DISADV on check if in water.")</f>
        <v>Lightning Bolt. 3/day, 5' wide line extending far from giant. All creatures in line DC 15 DEX or 5d10 damage. DISADV on check if in water.</v>
      </c>
      <c r="S7" s="11"/>
      <c r="T7" s="11"/>
      <c r="U7" s="11"/>
      <c r="V7" s="11"/>
      <c r="W7" s="11"/>
      <c r="X7" s="11"/>
      <c r="Y7" s="11"/>
      <c r="Z7" s="11"/>
      <c r="AA7" s="11"/>
      <c r="AB7" s="11"/>
    </row>
    <row r="8" ht="15.75" customHeight="1">
      <c r="A8" s="11" t="str">
        <f>IFERROR(__xludf.DUMMYFUNCTION("""COMPUTED_VALUE"""),"Purple Worm")</f>
        <v>Purple Worm</v>
      </c>
      <c r="B8" s="12" t="str">
        <f>IFERROR(__xludf.DUMMYFUNCTION("""COMPUTED_VALUE"""),"")</f>
        <v/>
      </c>
      <c r="C8" s="11" t="str">
        <f>IFERROR(__xludf.DUMMYFUNCTION("""COMPUTED_VALUE"""),"CR")</f>
        <v>CR</v>
      </c>
      <c r="D8" s="11" t="str">
        <f>IFERROR(__xludf.DUMMYFUNCTION("""COMPUTED_VALUE"""),"A massive worm as tall as a castle keep. Has a rotating maw and is covered in purple chitin.")</f>
        <v>A massive worm as tall as a castle keep. Has a rotating maw and is covered in purple chitin.</v>
      </c>
      <c r="E8" s="11">
        <f>IFERROR(__xludf.DUMMYFUNCTION("""COMPUTED_VALUE"""),18.0)</f>
        <v>18</v>
      </c>
      <c r="F8" s="11">
        <f>IFERROR(__xludf.DUMMYFUNCTION("""COMPUTED_VALUE"""),57.0)</f>
        <v>57</v>
      </c>
      <c r="G8" s="11" t="str">
        <f>IFERROR(__xludf.DUMMYFUNCTION("""COMPUTED_VALUE"""),"2 bite +9 (2d12 + swallow) and 1 sting (1d10 + poison)")</f>
        <v>2 bite +9 (2d12 + swallow) and 1 sting (1d10 + poison)</v>
      </c>
      <c r="H8" s="11" t="str">
        <f>IFERROR(__xludf.DUMMYFUNCTION("""COMPUTED_VALUE"""),"double near (burrow)")</f>
        <v>double near (burrow)</v>
      </c>
      <c r="I8" s="11">
        <f>IFERROR(__xludf.DUMMYFUNCTION("""COMPUTED_VALUE"""),5.0)</f>
        <v>5</v>
      </c>
      <c r="J8" s="11">
        <f>IFERROR(__xludf.DUMMYFUNCTION("""COMPUTED_VALUE"""),1.0)</f>
        <v>1</v>
      </c>
      <c r="K8" s="11">
        <f>IFERROR(__xludf.DUMMYFUNCTION("""COMPUTED_VALUE"""),3.0)</f>
        <v>3</v>
      </c>
      <c r="L8" s="11">
        <f>IFERROR(__xludf.DUMMYFUNCTION("""COMPUTED_VALUE"""),-3.0)</f>
        <v>-3</v>
      </c>
      <c r="M8" s="11">
        <f>IFERROR(__xludf.DUMMYFUNCTION("""COMPUTED_VALUE"""),1.0)</f>
        <v>1</v>
      </c>
      <c r="N8" s="11">
        <f>IFERROR(__xludf.DUMMYFUNCTION("""COMPUTED_VALUE"""),-3.0)</f>
        <v>-3</v>
      </c>
      <c r="O8" s="11" t="str">
        <f>IFERROR(__xludf.DUMMYFUNCTION("""COMPUTED_VALUE"""),"N")</f>
        <v>N</v>
      </c>
      <c r="P8" s="13">
        <f>IFERROR(__xludf.DUMMYFUNCTION("""COMPUTED_VALUE"""),12.0)</f>
        <v>12</v>
      </c>
      <c r="Q8" s="11" t="str">
        <f>IFERROR(__xludf.DUMMYFUNCTION("""COMPUTED_VALUE"""),"Poison. DC 15 CON or go to 0 HP.")</f>
        <v>Poison. DC 15 CON or go to 0 HP.</v>
      </c>
      <c r="R8" s="11" t="str">
        <f>IFERROR(__xludf.DUMMYFUNCTION("""COMPUTED_VALUE"""),"Swallow. On a natural attack roll of 18-20, target is swallowed. Total darkness inside and 2d10 damage per round. Worm regurgitates all swallowed if dealt at least 20 damage in one round to the inside of its gullet.")</f>
        <v>Swallow. On a natural attack roll of 18-20, target is swallowed. Total darkness inside and 2d10 damage per round. Worm regurgitates all swallowed if dealt at least 20 damage in one round to the inside of its gullet.</v>
      </c>
      <c r="S8" s="11"/>
      <c r="T8" s="11"/>
      <c r="U8" s="11"/>
      <c r="V8" s="11"/>
      <c r="W8" s="11"/>
      <c r="X8" s="11"/>
      <c r="Y8" s="11"/>
      <c r="Z8" s="11"/>
      <c r="AA8" s="11"/>
      <c r="AB8" s="11"/>
    </row>
    <row r="9" ht="15.75" customHeight="1">
      <c r="A9" s="11" t="str">
        <f>IFERROR(__xludf.DUMMYFUNCTION("""COMPUTED_VALUE"""),"Dragon, Desert")</f>
        <v>Dragon, Desert</v>
      </c>
      <c r="B9" s="12">
        <f>IFERROR(__xludf.DUMMYFUNCTION("""COMPUTED_VALUE"""),16.0)</f>
        <v>16</v>
      </c>
      <c r="C9" s="11" t="str">
        <f>IFERROR(__xludf.DUMMYFUNCTION("""COMPUTED_VALUE"""),"CR")</f>
        <v>CR</v>
      </c>
      <c r="D9" s="11" t="str">
        <f>IFERROR(__xludf.DUMMYFUNCTION("""COMPUTED_VALUE"""),"The smell of ozone precedes this desert-dwelling dragon. Its dazzling scales of brass and lapis lazuli shimmer in the baking heat.")</f>
        <v>The smell of ozone precedes this desert-dwelling dragon. Its dazzling scales of brass and lapis lazuli shimmer in the baking heat.</v>
      </c>
      <c r="E9" s="11">
        <f>IFERROR(__xludf.DUMMYFUNCTION("""COMPUTED_VALUE"""),17.0)</f>
        <v>17</v>
      </c>
      <c r="F9" s="11">
        <f>IFERROR(__xludf.DUMMYFUNCTION("""COMPUTED_VALUE"""),61.0)</f>
        <v>61</v>
      </c>
      <c r="G9" s="11" t="str">
        <f>IFERROR(__xludf.DUMMYFUNCTION("""COMPUTED_VALUE"""),"3 rend +9 (2d10) or 1 lightning breath")</f>
        <v>3 rend +9 (2d10) or 1 lightning breath</v>
      </c>
      <c r="H9" s="11" t="str">
        <f>IFERROR(__xludf.DUMMYFUNCTION("""COMPUTED_VALUE"""),"double near (fly)")</f>
        <v>double near (fly)</v>
      </c>
      <c r="I9" s="11">
        <f>IFERROR(__xludf.DUMMYFUNCTION("""COMPUTED_VALUE"""),5.0)</f>
        <v>5</v>
      </c>
      <c r="J9" s="11">
        <f>IFERROR(__xludf.DUMMYFUNCTION("""COMPUTED_VALUE"""),3.0)</f>
        <v>3</v>
      </c>
      <c r="K9" s="11">
        <f>IFERROR(__xludf.DUMMYFUNCTION("""COMPUTED_VALUE"""),3.0)</f>
        <v>3</v>
      </c>
      <c r="L9" s="11">
        <f>IFERROR(__xludf.DUMMYFUNCTION("""COMPUTED_VALUE"""),4.0)</f>
        <v>4</v>
      </c>
      <c r="M9" s="11">
        <f>IFERROR(__xludf.DUMMYFUNCTION("""COMPUTED_VALUE"""),5.0)</f>
        <v>5</v>
      </c>
      <c r="N9" s="11">
        <f>IFERROR(__xludf.DUMMYFUNCTION("""COMPUTED_VALUE"""),5.0)</f>
        <v>5</v>
      </c>
      <c r="O9" s="11" t="str">
        <f>IFERROR(__xludf.DUMMYFUNCTION("""COMPUTED_VALUE"""),"L")</f>
        <v>L</v>
      </c>
      <c r="P9" s="13">
        <f>IFERROR(__xludf.DUMMYFUNCTION("""COMPUTED_VALUE"""),13.0)</f>
        <v>13</v>
      </c>
      <c r="Q9" s="11" t="str">
        <f>IFERROR(__xludf.DUMMYFUNCTION("""COMPUTED_VALUE"""),"Stormblood. Electricity immune.")</f>
        <v>Stormblood. Electricity immune.</v>
      </c>
      <c r="R9" s="11" t="str">
        <f>IFERROR(__xludf.DUMMYFUNCTION("""COMPUTED_VALUE"""),"Lightning Breath. A straight line (5' wide) extending double near from dragon. DC 15 DEX or 4d8 damage (DISADV on check if wearing metal armor).")</f>
        <v>Lightning Breath. A straight line (5' wide) extending double near from dragon. DC 15 DEX or 4d8 damage (DISADV on check if wearing metal armor).</v>
      </c>
      <c r="S9" s="11" t="str">
        <f>IFERROR(__xludf.DUMMYFUNCTION("""COMPUTED_VALUE"""),"Mirage. 1/day, in place of attacks. Create 3 illusory duplicates that disappear when hit. Determine randomly if an attack hits dragon or illusions.")</f>
        <v>Mirage. 1/day, in place of attacks. Create 3 illusory duplicates that disappear when hit. Determine randomly if an attack hits dragon or illusions.</v>
      </c>
      <c r="T9" s="11"/>
      <c r="U9" s="11"/>
      <c r="V9" s="11"/>
      <c r="W9" s="11"/>
      <c r="X9" s="11"/>
      <c r="Y9" s="11"/>
      <c r="Z9" s="11"/>
      <c r="AA9" s="11"/>
      <c r="AB9" s="11"/>
    </row>
    <row r="10" ht="15.75" customHeight="1">
      <c r="A10" s="11" t="str">
        <f>IFERROR(__xludf.DUMMYFUNCTION("""COMPUTED_VALUE"""),"Lich")</f>
        <v>Lich</v>
      </c>
      <c r="B10" s="12">
        <f>IFERROR(__xludf.DUMMYFUNCTION("""COMPUTED_VALUE"""),21.0)</f>
        <v>21</v>
      </c>
      <c r="C10" s="11" t="str">
        <f>IFERROR(__xludf.DUMMYFUNCTION("""COMPUTED_VALUE"""),"CR")</f>
        <v>CR</v>
      </c>
      <c r="D10" s="11" t="str">
        <f>IFERROR(__xludf.DUMMYFUNCTION("""COMPUTED_VALUE"""),"A wizard who has completed a necromantic ritual to become a mighty, undead sorcerer. Its withered body is draped in moldering, silk robes, and red marshlights burn in its eyes.")</f>
        <v>A wizard who has completed a necromantic ritual to become a mighty, undead sorcerer. Its withered body is draped in moldering, silk robes, and red marshlights burn in its eyes.</v>
      </c>
      <c r="E10" s="11">
        <f>IFERROR(__xludf.DUMMYFUNCTION("""COMPUTED_VALUE"""),16.0)</f>
        <v>16</v>
      </c>
      <c r="F10" s="11">
        <f>IFERROR(__xludf.DUMMYFUNCTION("""COMPUTED_VALUE"""),62.0)</f>
        <v>62</v>
      </c>
      <c r="G10" s="11" t="str">
        <f>IFERROR(__xludf.DUMMYFUNCTION("""COMPUTED_VALUE"""),"2 touch +6 (2d8 + paralysis) and 2 spell +7")</f>
        <v>2 touch +6 (2d8 + paralysis) and 2 spell +7</v>
      </c>
      <c r="H10" s="11" t="str">
        <f>IFERROR(__xludf.DUMMYFUNCTION("""COMPUTED_VALUE"""),"near")</f>
        <v>near</v>
      </c>
      <c r="I10" s="11">
        <f>IFERROR(__xludf.DUMMYFUNCTION("""COMPUTED_VALUE"""),3.0)</f>
        <v>3</v>
      </c>
      <c r="J10" s="11">
        <f>IFERROR(__xludf.DUMMYFUNCTION("""COMPUTED_VALUE"""),1.0)</f>
        <v>1</v>
      </c>
      <c r="K10" s="11">
        <f>IFERROR(__xludf.DUMMYFUNCTION("""COMPUTED_VALUE"""),4.0)</f>
        <v>4</v>
      </c>
      <c r="L10" s="11">
        <f>IFERROR(__xludf.DUMMYFUNCTION("""COMPUTED_VALUE"""),4.0)</f>
        <v>4</v>
      </c>
      <c r="M10" s="11">
        <f>IFERROR(__xludf.DUMMYFUNCTION("""COMPUTED_VALUE"""),3.0)</f>
        <v>3</v>
      </c>
      <c r="N10" s="11">
        <f>IFERROR(__xludf.DUMMYFUNCTION("""COMPUTED_VALUE"""),3.0)</f>
        <v>3</v>
      </c>
      <c r="O10" s="11" t="str">
        <f>IFERROR(__xludf.DUMMYFUNCTION("""COMPUTED_VALUE"""),"C")</f>
        <v>C</v>
      </c>
      <c r="P10" s="13">
        <f>IFERROR(__xludf.DUMMYFUNCTION("""COMPUTED_VALUE"""),13.0)</f>
        <v>13</v>
      </c>
      <c r="Q10" s="11" t="str">
        <f>IFERROR(__xludf.DUMMYFUNCTION("""COMPUTED_VALUE"""),"Supreme Undead. Immune to morale checks. Only damaged by magical sources.")</f>
        <v>Supreme Undead. Immune to morale checks. Only damaged by magical sources.</v>
      </c>
      <c r="R10" s="11" t="str">
        <f>IFERROR(__xludf.DUMMYFUNCTION("""COMPUTED_VALUE"""),"Phylactery. Can't be killed while spirit vessel (an object) is intact.")</f>
        <v>Phylactery. Can't be killed while spirit vessel (an object) is intact.</v>
      </c>
      <c r="S10" s="11" t="str">
        <f>IFERROR(__xludf.DUMMYFUNCTION("""COMPUTED_VALUE"""),"Paralysis. DC 15 CON or paralyzed 1d4 rounds.")</f>
        <v>Paralysis. DC 15 CON or paralyzed 1d4 rounds.</v>
      </c>
      <c r="T10" s="11" t="str">
        <f>IFERROR(__xludf.DUMMYFUNCTION("""COMPUTED_VALUE"""),"Flight (INT Spell). Self. DC 13. Fly double near for 5 rounds")</f>
        <v>Flight (INT Spell). Self. DC 13. Fly double near for 5 rounds</v>
      </c>
      <c r="U10" s="11" t="str">
        <f>IFERROR(__xludf.DUMMYFUNCTION("""COMPUTED_VALUE"""),"Null (INT Spell). Self. DC 14. Hostile spells targeting lich are DC 18 to cast. Lasts 1d4 rounds.")</f>
        <v>Null (INT Spell). Self. DC 14. Hostile spells targeting lich are DC 18 to cast. Lasts 1d4 rounds.</v>
      </c>
      <c r="V10" s="11" t="str">
        <f>IFERROR(__xludf.DUMMYFUNCTION("""COMPUTED_VALUE"""),"Shadow Leap (INT Spell). Self. DC 14. Teleport up to 100 miles. ")</f>
        <v>Shadow Leap (INT Spell). Self. DC 14. Teleport up to 100 miles. </v>
      </c>
      <c r="W10" s="11" t="str">
        <f>IFERROR(__xludf.DUMMYFUNCTION("""COMPUTED_VALUE"""),"Sigil of Doom (INT Spell). DC 15. One target of LV 9 or less within near DC 15 CON or go to 0 HP. ")</f>
        <v>Sigil of Doom (INT Spell). DC 15. One target of LV 9 or less within near DC 15 CON or go to 0 HP. </v>
      </c>
      <c r="X10" s="11" t="str">
        <f>IFERROR(__xludf.DUMMYFUNCTION("""COMPUTED_VALUE"""),"Wither (INT Spell). DC 14. 4d8 damage to enemies within a near-sized cube centered on lich.")</f>
        <v>Wither (INT Spell). DC 14. 4d8 damage to enemies within a near-sized cube centered on lich.</v>
      </c>
      <c r="Y10" s="11"/>
      <c r="Z10" s="11"/>
      <c r="AA10" s="11"/>
      <c r="AB10" s="11"/>
    </row>
    <row r="11" ht="15.75" customHeight="1">
      <c r="A11" s="11" t="str">
        <f>IFERROR(__xludf.DUMMYFUNCTION("""COMPUTED_VALUE"""),"Phoenix")</f>
        <v>Phoenix</v>
      </c>
      <c r="B11" s="12" t="str">
        <f>IFERROR(__xludf.DUMMYFUNCTION("""COMPUTED_VALUE"""),"")</f>
        <v/>
      </c>
      <c r="C11" s="11" t="str">
        <f>IFERROR(__xludf.DUMMYFUNCTION("""COMPUTED_VALUE"""),"CR")</f>
        <v>CR</v>
      </c>
      <c r="D11" s="11" t="str">
        <f>IFERROR(__xludf.DUMMYFUNCTION("""COMPUTED_VALUE"""),"Huge, soaring eagles made of searing flames. Intelligent and imbued with immortal magic.")</f>
        <v>Huge, soaring eagles made of searing flames. Intelligent and imbued with immortal magic.</v>
      </c>
      <c r="E11" s="11">
        <f>IFERROR(__xludf.DUMMYFUNCTION("""COMPUTED_VALUE"""),16.0)</f>
        <v>16</v>
      </c>
      <c r="F11" s="11">
        <f>IFERROR(__xludf.DUMMYFUNCTION("""COMPUTED_VALUE"""),60.0)</f>
        <v>60</v>
      </c>
      <c r="G11" s="11" t="str">
        <f>IFERROR(__xludf.DUMMYFUNCTION("""COMPUTED_VALUE"""),"4 rend +8 (2d12)")</f>
        <v>4 rend +8 (2d12)</v>
      </c>
      <c r="H11" s="11" t="str">
        <f>IFERROR(__xludf.DUMMYFUNCTION("""COMPUTED_VALUE"""),"double near (fly)")</f>
        <v>double near (fly)</v>
      </c>
      <c r="I11" s="11">
        <f>IFERROR(__xludf.DUMMYFUNCTION("""COMPUTED_VALUE"""),3.0)</f>
        <v>3</v>
      </c>
      <c r="J11" s="11">
        <f>IFERROR(__xludf.DUMMYFUNCTION("""COMPUTED_VALUE"""),4.0)</f>
        <v>4</v>
      </c>
      <c r="K11" s="11">
        <f>IFERROR(__xludf.DUMMYFUNCTION("""COMPUTED_VALUE"""),2.0)</f>
        <v>2</v>
      </c>
      <c r="L11" s="11">
        <f>IFERROR(__xludf.DUMMYFUNCTION("""COMPUTED_VALUE"""),3.0)</f>
        <v>3</v>
      </c>
      <c r="M11" s="11">
        <f>IFERROR(__xludf.DUMMYFUNCTION("""COMPUTED_VALUE"""),3.0)</f>
        <v>3</v>
      </c>
      <c r="N11" s="11">
        <f>IFERROR(__xludf.DUMMYFUNCTION("""COMPUTED_VALUE"""),3.0)</f>
        <v>3</v>
      </c>
      <c r="O11" s="11" t="str">
        <f>IFERROR(__xludf.DUMMYFUNCTION("""COMPUTED_VALUE"""),"L")</f>
        <v>L</v>
      </c>
      <c r="P11" s="13">
        <f>IFERROR(__xludf.DUMMYFUNCTION("""COMPUTED_VALUE"""),13.0)</f>
        <v>13</v>
      </c>
      <c r="Q11" s="11" t="str">
        <f>IFERROR(__xludf.DUMMYFUNCTION("""COMPUTED_VALUE"""),"Impervious. Immune to fire. Only damaged by magical sources.")</f>
        <v>Impervious. Immune to fire. Only damaged by magical sources.</v>
      </c>
      <c r="R11" s="11" t="str">
        <f>IFERROR(__xludf.DUMMYFUNCTION("""COMPUTED_VALUE"""),"Explosion. Upon death, creatures within double near of phoenix DC 18 DEX or 10d6 damage.")</f>
        <v>Explosion. Upon death, creatures within double near of phoenix DC 18 DEX or 10d6 damage.</v>
      </c>
      <c r="S11" s="11" t="str">
        <f>IFERROR(__xludf.DUMMYFUNCTION("""COMPUTED_VALUE"""),"Heat Aura. Creatures within near of phoenix at start of turn DC 15 CON or 2d6 damage.")</f>
        <v>Heat Aura. Creatures within near of phoenix at start of turn DC 15 CON or 2d6 damage.</v>
      </c>
      <c r="T11" s="11" t="str">
        <f>IFERROR(__xludf.DUMMYFUNCTION("""COMPUTED_VALUE"""),"Rebirth. A red-hot egg remains after death. Phoenix hatches from it in 1d4 days.")</f>
        <v>Rebirth. A red-hot egg remains after death. Phoenix hatches from it in 1d4 days.</v>
      </c>
      <c r="U11" s="11"/>
      <c r="V11" s="11"/>
      <c r="W11" s="11"/>
      <c r="X11" s="11"/>
      <c r="Y11" s="11"/>
      <c r="Z11" s="11"/>
      <c r="AA11" s="11"/>
      <c r="AB11" s="11"/>
    </row>
    <row r="12" ht="15.75" customHeight="1">
      <c r="A12" s="11" t="str">
        <f>IFERROR(__xludf.DUMMYFUNCTION("""COMPUTED_VALUE"""),"Dragon, Frost")</f>
        <v>Dragon, Frost</v>
      </c>
      <c r="B12" s="12" t="str">
        <f>IFERROR(__xludf.DUMMYFUNCTION("""COMPUTED_VALUE"""),"")</f>
        <v/>
      </c>
      <c r="C12" s="11" t="str">
        <f>IFERROR(__xludf.DUMMYFUNCTION("""COMPUTED_VALUE"""),"CR")</f>
        <v>CR</v>
      </c>
      <c r="D12" s="11" t="str">
        <f>IFERROR(__xludf.DUMMYFUNCTION("""COMPUTED_VALUE"""),"Prismatic ice lines the horns, spines, and wings of this pearly dragon. Clouds of steam hiss from its ice-rimed jaws.")</f>
        <v>Prismatic ice lines the horns, spines, and wings of this pearly dragon. Clouds of steam hiss from its ice-rimed jaws.</v>
      </c>
      <c r="E12" s="11">
        <f>IFERROR(__xludf.DUMMYFUNCTION("""COMPUTED_VALUE"""),17.0)</f>
        <v>17</v>
      </c>
      <c r="F12" s="11">
        <f>IFERROR(__xludf.DUMMYFUNCTION("""COMPUTED_VALUE"""),68.0)</f>
        <v>68</v>
      </c>
      <c r="G12" s="11" t="str">
        <f>IFERROR(__xludf.DUMMYFUNCTION("""COMPUTED_VALUE"""),"4 rend +9 (2d10) or 1 ice breath")</f>
        <v>4 rend +9 (2d10) or 1 ice breath</v>
      </c>
      <c r="H12" s="11" t="str">
        <f>IFERROR(__xludf.DUMMYFUNCTION("""COMPUTED_VALUE"""),"double near (fly)")</f>
        <v>double near (fly)</v>
      </c>
      <c r="I12" s="11">
        <f>IFERROR(__xludf.DUMMYFUNCTION("""COMPUTED_VALUE"""),4.0)</f>
        <v>4</v>
      </c>
      <c r="J12" s="11">
        <f>IFERROR(__xludf.DUMMYFUNCTION("""COMPUTED_VALUE"""),3.0)</f>
        <v>3</v>
      </c>
      <c r="K12" s="11">
        <f>IFERROR(__xludf.DUMMYFUNCTION("""COMPUTED_VALUE"""),5.0)</f>
        <v>5</v>
      </c>
      <c r="L12" s="11">
        <f>IFERROR(__xludf.DUMMYFUNCTION("""COMPUTED_VALUE"""),3.0)</f>
        <v>3</v>
      </c>
      <c r="M12" s="11">
        <f>IFERROR(__xludf.DUMMYFUNCTION("""COMPUTED_VALUE"""),4.0)</f>
        <v>4</v>
      </c>
      <c r="N12" s="11">
        <f>IFERROR(__xludf.DUMMYFUNCTION("""COMPUTED_VALUE"""),3.0)</f>
        <v>3</v>
      </c>
      <c r="O12" s="11" t="str">
        <f>IFERROR(__xludf.DUMMYFUNCTION("""COMPUTED_VALUE"""),"N")</f>
        <v>N</v>
      </c>
      <c r="P12" s="13">
        <f>IFERROR(__xludf.DUMMYFUNCTION("""COMPUTED_VALUE"""),14.0)</f>
        <v>14</v>
      </c>
      <c r="Q12" s="11" t="str">
        <f>IFERROR(__xludf.DUMMYFUNCTION("""COMPUTED_VALUE"""),"Frostblood. Cold immune.")</f>
        <v>Frostblood. Cold immune.</v>
      </c>
      <c r="R12" s="11" t="str">
        <f>IFERROR(__xludf.DUMMYFUNCTION("""COMPUTED_VALUE"""),"Ice Breath. Fills a double near-sized cube extending from dragon. DC 15 DEX or 4d8 damage and frozen for 1 round.")</f>
        <v>Ice Breath. Fills a double near-sized cube extending from dragon. DC 15 DEX or 4d8 damage and frozen for 1 round.</v>
      </c>
      <c r="S12" s="11"/>
      <c r="T12" s="11"/>
      <c r="U12" s="11"/>
      <c r="V12" s="11"/>
      <c r="W12" s="11"/>
      <c r="X12" s="11"/>
      <c r="Y12" s="11"/>
      <c r="Z12" s="11"/>
      <c r="AA12" s="11"/>
      <c r="AB12" s="11"/>
    </row>
    <row r="13" ht="15.75" customHeight="1">
      <c r="A13" s="11" t="str">
        <f>IFERROR(__xludf.DUMMYFUNCTION("""COMPUTED_VALUE"""),"Roc")</f>
        <v>Roc</v>
      </c>
      <c r="B13" s="12">
        <f>IFERROR(__xludf.DUMMYFUNCTION("""COMPUTED_VALUE"""),11.0)</f>
        <v>11</v>
      </c>
      <c r="C13" s="11" t="str">
        <f>IFERROR(__xludf.DUMMYFUNCTION("""COMPUTED_VALUE"""),"CR")</f>
        <v>CR</v>
      </c>
      <c r="D13" s="11" t="str">
        <f>IFERROR(__xludf.DUMMYFUNCTION("""COMPUTED_VALUE"""),"Dragon-sized hawks that nest in remote mountains.")</f>
        <v>Dragon-sized hawks that nest in remote mountains.</v>
      </c>
      <c r="E13" s="11">
        <f>IFERROR(__xludf.DUMMYFUNCTION("""COMPUTED_VALUE"""),15.0)</f>
        <v>15</v>
      </c>
      <c r="F13" s="11">
        <f>IFERROR(__xludf.DUMMYFUNCTION("""COMPUTED_VALUE"""),69.0)</f>
        <v>69</v>
      </c>
      <c r="G13" s="11" t="str">
        <f>IFERROR(__xludf.DUMMYFUNCTION("""COMPUTED_VALUE"""),"4 rend +9 (2d10 + grab)")</f>
        <v>4 rend +9 (2d10 + grab)</v>
      </c>
      <c r="H13" s="11" t="str">
        <f>IFERROR(__xludf.DUMMYFUNCTION("""COMPUTED_VALUE"""),"double near (fly)")</f>
        <v>double near (fly)</v>
      </c>
      <c r="I13" s="11">
        <f>IFERROR(__xludf.DUMMYFUNCTION("""COMPUTED_VALUE"""),5.0)</f>
        <v>5</v>
      </c>
      <c r="J13" s="11">
        <f>IFERROR(__xludf.DUMMYFUNCTION("""COMPUTED_VALUE"""),3.0)</f>
        <v>3</v>
      </c>
      <c r="K13" s="11">
        <f>IFERROR(__xludf.DUMMYFUNCTION("""COMPUTED_VALUE"""),2.0)</f>
        <v>2</v>
      </c>
      <c r="L13" s="11">
        <f>IFERROR(__xludf.DUMMYFUNCTION("""COMPUTED_VALUE"""),-2.0)</f>
        <v>-2</v>
      </c>
      <c r="M13" s="11">
        <f>IFERROR(__xludf.DUMMYFUNCTION("""COMPUTED_VALUE"""),2.0)</f>
        <v>2</v>
      </c>
      <c r="N13" s="11">
        <f>IFERROR(__xludf.DUMMYFUNCTION("""COMPUTED_VALUE"""),-2.0)</f>
        <v>-2</v>
      </c>
      <c r="O13" s="11" t="str">
        <f>IFERROR(__xludf.DUMMYFUNCTION("""COMPUTED_VALUE"""),"N")</f>
        <v>N</v>
      </c>
      <c r="P13" s="13">
        <f>IFERROR(__xludf.DUMMYFUNCTION("""COMPUTED_VALUE"""),15.0)</f>
        <v>15</v>
      </c>
      <c r="Q13" s="14" t="str">
        <f>IFERROR(__xludf.DUMMYFUNCTION("""COMPUTED_VALUE"""),"Grab. DC 18 STR or target held. DC 18 STR on turn to break free.")</f>
        <v>Grab. DC 18 STR or target held. DC 18 STR on turn to break free.</v>
      </c>
      <c r="R13" s="14"/>
      <c r="S13" s="14"/>
      <c r="T13" s="14"/>
      <c r="U13" s="14"/>
      <c r="V13" s="14"/>
      <c r="W13" s="11"/>
      <c r="X13" s="11"/>
      <c r="Y13" s="11"/>
      <c r="Z13" s="11"/>
      <c r="AA13" s="11"/>
      <c r="AB13" s="11"/>
    </row>
    <row r="14" ht="15.75" customHeight="1">
      <c r="A14" s="11" t="str">
        <f>IFERROR(__xludf.DUMMYFUNCTION("""COMPUTED_VALUE"""),"The Wandering Merchant")</f>
        <v>The Wandering Merchant</v>
      </c>
      <c r="B14" s="12" t="str">
        <f>IFERROR(__xludf.DUMMYFUNCTION("""COMPUTED_VALUE"""),"")</f>
        <v/>
      </c>
      <c r="C14" s="11" t="str">
        <f>IFERROR(__xludf.DUMMYFUNCTION("""COMPUTED_VALUE"""),"CR")</f>
        <v>CR</v>
      </c>
      <c r="D14" s="11" t="str">
        <f>IFERROR(__xludf.DUMMYFUNCTION("""COMPUTED_VALUE"""),"A cheerful merchant who appears to be a hale, middle-aged human man with a handlebar mustache. He wears a white shirt, breeches, and leather apron, and he hauls a towering backpack bursting at the seams. Few know the merchant's true nature and origins, th"&amp;"ough some theorize he is an immortal being or a god (they are not entirely incorrect). The Wandering Merchant always has something useful, far-flung, or incredible to sell at a reasonable price, and there's no telling when or where he'll show up next...")</f>
        <v>A cheerful merchant who appears to be a hale, middle-aged human man with a handlebar mustache. He wears a white shirt, breeches, and leather apron, and he hauls a towering backpack bursting at the seams. Few know the merchant's true nature and origins, though some theorize he is an immortal being or a god (they are not entirely incorrect). The Wandering Merchant always has something useful, far-flung, or incredible to sell at a reasonable price, and there's no telling when or where he'll show up next...</v>
      </c>
      <c r="E14" s="11" t="str">
        <f>IFERROR(__xludf.DUMMYFUNCTION("""COMPUTED_VALUE"""),"16 (mithral chainmail)")</f>
        <v>16 (mithral chainmail)</v>
      </c>
      <c r="F14" s="11">
        <f>IFERROR(__xludf.DUMMYFUNCTION("""COMPUTED_VALUE"""),71.0)</f>
        <v>71</v>
      </c>
      <c r="G14" s="11" t="str">
        <f>IFERROR(__xludf.DUMMYFUNCTION("""COMPUTED_VALUE"""),"4 +3 vorpal bastard sword +9 (1d10 + lop)")</f>
        <v>4 +3 vorpal bastard sword +9 (1d10 + lop)</v>
      </c>
      <c r="H14" s="11" t="str">
        <f>IFERROR(__xludf.DUMMYFUNCTION("""COMPUTED_VALUE"""),"near")</f>
        <v>near</v>
      </c>
      <c r="I14" s="11">
        <f>IFERROR(__xludf.DUMMYFUNCTION("""COMPUTED_VALUE"""),3.0)</f>
        <v>3</v>
      </c>
      <c r="J14" s="11">
        <f>IFERROR(__xludf.DUMMYFUNCTION("""COMPUTED_VALUE"""),3.0)</f>
        <v>3</v>
      </c>
      <c r="K14" s="11">
        <f>IFERROR(__xludf.DUMMYFUNCTION("""COMPUTED_VALUE"""),4.0)</f>
        <v>4</v>
      </c>
      <c r="L14" s="11">
        <f>IFERROR(__xludf.DUMMYFUNCTION("""COMPUTED_VALUE"""),3.0)</f>
        <v>3</v>
      </c>
      <c r="M14" s="11">
        <f>IFERROR(__xludf.DUMMYFUNCTION("""COMPUTED_VALUE"""),4.0)</f>
        <v>4</v>
      </c>
      <c r="N14" s="11">
        <f>IFERROR(__xludf.DUMMYFUNCTION("""COMPUTED_VALUE"""),5.0)</f>
        <v>5</v>
      </c>
      <c r="O14" s="11" t="str">
        <f>IFERROR(__xludf.DUMMYFUNCTION("""COMPUTED_VALUE"""),"L")</f>
        <v>L</v>
      </c>
      <c r="P14" s="13">
        <f>IFERROR(__xludf.DUMMYFUNCTION("""COMPUTED_VALUE"""),15.0)</f>
        <v>15</v>
      </c>
      <c r="Q14" s="11" t="str">
        <f>IFERROR(__xludf.DUMMYFUNCTION("""COMPUTED_VALUE"""),"Legendary. Only damaged by magical sources. Hostile spells targeting The Wandering Merchant are DC 18 to cast.")</f>
        <v>Legendary. Only damaged by magical sources. Hostile spells targeting The Wandering Merchant are DC 18 to cast.</v>
      </c>
      <c r="R14" s="11" t="str">
        <f>IFERROR(__xludf.DUMMYFUNCTION("""COMPUTED_VALUE"""),"Amulet of Rahm-Hotep. In place of attacks, teleport to a random location in the multiverse.")</f>
        <v>Amulet of Rahm-Hotep. In place of attacks, teleport to a random location in the multiverse.</v>
      </c>
      <c r="S14" s="11" t="str">
        <f>IFERROR(__xludf.DUMMYFUNCTION("""COMPUTED_VALUE"""),"Bottomless Bag: Contains 200 gear slots in magical sub-pockets. Weighs as much as a normal backpack. The Wandering Merchant can summon it to himself from anywhere by snapping his fingers.")</f>
        <v>Bottomless Bag: Contains 200 gear slots in magical sub-pockets. Weighs as much as a normal backpack. The Wandering Merchant can summon it to himself from anywhere by snapping his fingers.</v>
      </c>
      <c r="T14" s="11" t="str">
        <f>IFERROR(__xludf.DUMMYFUNCTION("""COMPUTED_VALUE"""),"Dice of Truth: A set of three six-sided dice whose rolls cannot be magically or mundanely altered in any way.")</f>
        <v>Dice of Truth: A set of three six-sided dice whose rolls cannot be magically or mundanely altered in any way.</v>
      </c>
      <c r="U14" s="11" t="str">
        <f>IFERROR(__xludf.DUMMYFUNCTION("""COMPUTED_VALUE"""),"Lop. On a natural attack roll of 18-20, behead the target.")</f>
        <v>Lop. On a natural attack roll of 18-20, behead the target.</v>
      </c>
      <c r="V14" s="11" t="str">
        <f>IFERROR(__xludf.DUMMYFUNCTION("""COMPUTED_VALUE"""),"Reckoning. Any creature who steals from The Wandering Merchant develops a curse. Over the next 2d8 days, that creature turns into a cockatrice. This curse can only be lifted by a wish spell or by returning the stolen goods.")</f>
        <v>Reckoning. Any creature who steals from The Wandering Merchant develops a curse. Over the next 2d8 days, that creature turns into a cockatrice. This curse can only be lifted by a wish spell or by returning the stolen goods.</v>
      </c>
      <c r="W14" s="11" t="str">
        <f>IFERROR(__xludf.DUMMYFUNCTION("""COMPUTED_VALUE"""),"Strange Lands. The Wandering Merchant does not suffer any ill effects from the natural environment he does not wish to suffer.")</f>
        <v>Strange Lands. The Wandering Merchant does not suffer any ill effects from the natural environment he does not wish to suffer.</v>
      </c>
      <c r="X14" s="11"/>
      <c r="Y14" s="11"/>
      <c r="Z14" s="11"/>
      <c r="AA14" s="11"/>
      <c r="AB14" s="11"/>
    </row>
    <row r="15" ht="15.75" customHeight="1">
      <c r="A15" s="11" t="str">
        <f>IFERROR(__xludf.DUMMYFUNCTION("""COMPUTED_VALUE"""),"Angel, Archangel")</f>
        <v>Angel, Archangel</v>
      </c>
      <c r="B15" s="12" t="str">
        <f>IFERROR(__xludf.DUMMYFUNCTION("""COMPUTED_VALUE"""),"")</f>
        <v/>
      </c>
      <c r="C15" s="11" t="str">
        <f>IFERROR(__xludf.DUMMYFUNCTION("""COMPUTED_VALUE"""),"CR")</f>
        <v>CR</v>
      </c>
      <c r="D15" s="11" t="str">
        <f>IFERROR(__xludf.DUMMYFUNCTION("""COMPUTED_VALUE"""),"A radiant being with a crown of fire, snowy wings, golden armor, and a blazing greatsword.")</f>
        <v>A radiant being with a crown of fire, snowy wings, golden armor, and a blazing greatsword.</v>
      </c>
      <c r="E15" s="11" t="str">
        <f>IFERROR(__xludf.DUMMYFUNCTION("""COMPUTED_VALUE"""),"18 (+3 plate mail)")</f>
        <v>18 (+3 plate mail)</v>
      </c>
      <c r="F15" s="11">
        <f>IFERROR(__xludf.DUMMYFUNCTION("""COMPUTED_VALUE"""),76.0)</f>
        <v>76</v>
      </c>
      <c r="G15" s="11" t="str">
        <f>IFERROR(__xludf.DUMMYFUNCTION("""COMPUTED_VALUE"""),"3 flaming greatsword +10 (2d12)")</f>
        <v>3 flaming greatsword +10 (2d12)</v>
      </c>
      <c r="H15" s="11" t="str">
        <f>IFERROR(__xludf.DUMMYFUNCTION("""COMPUTED_VALUE"""),"double near (fly)")</f>
        <v>double near (fly)</v>
      </c>
      <c r="I15" s="11">
        <f>IFERROR(__xludf.DUMMYFUNCTION("""COMPUTED_VALUE"""),5.0)</f>
        <v>5</v>
      </c>
      <c r="J15" s="11">
        <f>IFERROR(__xludf.DUMMYFUNCTION("""COMPUTED_VALUE"""),2.0)</f>
        <v>2</v>
      </c>
      <c r="K15" s="11">
        <f>IFERROR(__xludf.DUMMYFUNCTION("""COMPUTED_VALUE"""),4.0)</f>
        <v>4</v>
      </c>
      <c r="L15" s="11">
        <f>IFERROR(__xludf.DUMMYFUNCTION("""COMPUTED_VALUE"""),4.0)</f>
        <v>4</v>
      </c>
      <c r="M15" s="11">
        <f>IFERROR(__xludf.DUMMYFUNCTION("""COMPUTED_VALUE"""),5.0)</f>
        <v>5</v>
      </c>
      <c r="N15" s="11">
        <f>IFERROR(__xludf.DUMMYFUNCTION("""COMPUTED_VALUE"""),5.0)</f>
        <v>5</v>
      </c>
      <c r="O15" s="11" t="str">
        <f>IFERROR(__xludf.DUMMYFUNCTION("""COMPUTED_VALUE"""),"L")</f>
        <v>L</v>
      </c>
      <c r="P15" s="13">
        <f>IFERROR(__xludf.DUMMYFUNCTION("""COMPUTED_VALUE"""),16.0)</f>
        <v>16</v>
      </c>
      <c r="Q15" s="11" t="str">
        <f>IFERROR(__xludf.DUMMYFUNCTION("""COMPUTED_VALUE"""),"Command: DC 18 CHA to resist an archangel's command.")</f>
        <v>Command: DC 18 CHA to resist an archangel's command.</v>
      </c>
      <c r="R15" s="11" t="str">
        <f>IFERROR(__xludf.DUMMYFUNCTION("""COMPUTED_VALUE"""),"Crown of Fire: Hostile spells targeting the archangel are extreme (DC 18) to cast.")</f>
        <v>Crown of Fire: Hostile spells targeting the archangel are extreme (DC 18) to cast.</v>
      </c>
      <c r="S15" s="11"/>
      <c r="T15" s="11"/>
      <c r="U15" s="11"/>
      <c r="V15" s="11"/>
      <c r="W15" s="11"/>
      <c r="X15" s="11"/>
      <c r="Y15" s="11"/>
      <c r="Z15" s="11"/>
      <c r="AA15" s="11"/>
      <c r="AB15" s="11"/>
    </row>
    <row r="16" ht="15.75" customHeight="1">
      <c r="A16" s="11" t="str">
        <f>IFERROR(__xludf.DUMMYFUNCTION("""COMPUTED_VALUE"""),"Demon, Balor")</f>
        <v>Demon, Balor</v>
      </c>
      <c r="B16" s="12">
        <f>IFERROR(__xludf.DUMMYFUNCTION("""COMPUTED_VALUE"""),19.0)</f>
        <v>19</v>
      </c>
      <c r="C16" s="11" t="str">
        <f>IFERROR(__xludf.DUMMYFUNCTION("""COMPUTED_VALUE"""),"CR")</f>
        <v>CR</v>
      </c>
      <c r="D16" s="11" t="str">
        <f>IFERROR(__xludf.DUMMYFUNCTION("""COMPUTED_VALUE"""),"Colossal, horned bat-beasts wreathed in the flames of hell itself. Their mighty swords and cracking whips of fire can slice through stone.")</f>
        <v>Colossal, horned bat-beasts wreathed in the flames of hell itself. Their mighty swords and cracking whips of fire can slice through stone.</v>
      </c>
      <c r="E16" s="11">
        <f>IFERROR(__xludf.DUMMYFUNCTION("""COMPUTED_VALUE"""),19.0)</f>
        <v>19</v>
      </c>
      <c r="F16" s="11">
        <f>IFERROR(__xludf.DUMMYFUNCTION("""COMPUTED_VALUE"""),77.0)</f>
        <v>77</v>
      </c>
      <c r="G16" s="11" t="str">
        <f>IFERROR(__xludf.DUMMYFUNCTION("""COMPUTED_VALUE"""),"3 greatsword +10 (2d12 + hellfire) and 1 fire
whip (near) +10 (2d6 + grab),")</f>
        <v>3 greatsword +10 (2d12 + hellfire) and 1 fire
whip (near) +10 (2d6 + grab),</v>
      </c>
      <c r="H16" s="11" t="str">
        <f>IFERROR(__xludf.DUMMYFUNCTION("""COMPUTED_VALUE"""),"double near (fly)")</f>
        <v>double near (fly)</v>
      </c>
      <c r="I16" s="11">
        <f>IFERROR(__xludf.DUMMYFUNCTION("""COMPUTED_VALUE"""),6.0)</f>
        <v>6</v>
      </c>
      <c r="J16" s="11">
        <f>IFERROR(__xludf.DUMMYFUNCTION("""COMPUTED_VALUE"""),2.0)</f>
        <v>2</v>
      </c>
      <c r="K16" s="11">
        <f>IFERROR(__xludf.DUMMYFUNCTION("""COMPUTED_VALUE"""),5.0)</f>
        <v>5</v>
      </c>
      <c r="L16" s="11">
        <f>IFERROR(__xludf.DUMMYFUNCTION("""COMPUTED_VALUE"""),4.0)</f>
        <v>4</v>
      </c>
      <c r="M16" s="11">
        <f>IFERROR(__xludf.DUMMYFUNCTION("""COMPUTED_VALUE"""),3.0)</f>
        <v>3</v>
      </c>
      <c r="N16" s="11">
        <f>IFERROR(__xludf.DUMMYFUNCTION("""COMPUTED_VALUE"""),4.0)</f>
        <v>4</v>
      </c>
      <c r="O16" s="11" t="str">
        <f>IFERROR(__xludf.DUMMYFUNCTION("""COMPUTED_VALUE"""),"C")</f>
        <v>C</v>
      </c>
      <c r="P16" s="13">
        <f>IFERROR(__xludf.DUMMYFUNCTION("""COMPUTED_VALUE"""),16.0)</f>
        <v>16</v>
      </c>
      <c r="Q16" s="11" t="str">
        <f>IFERROR(__xludf.DUMMYFUNCTION("""COMPUTED_VALUE"""),"Impervious. Fire immune. Only damaged by magical sources.")</f>
        <v>Impervious. Fire immune. Only damaged by magical sources.</v>
      </c>
      <c r="R16" s="11" t="str">
        <f>IFERROR(__xludf.DUMMYFUNCTION("""COMPUTED_VALUE"""),"Grab. DC 18 STR or target bound in whip. 2d6 damage per round held, DC 18 STR to break free on turn. In place of fire whip attack, balor can fling a grabbed target double near on its turn.")</f>
        <v>Grab. DC 18 STR or target bound in whip. 2d6 damage per round held, DC 18 STR to break free on turn. In place of fire whip attack, balor can fling a grabbed target double near on its turn.</v>
      </c>
      <c r="S16" s="11" t="str">
        <f>IFERROR(__xludf.DUMMYFUNCTION("""COMPUTED_VALUE"""),"Hellfire. DC 18 DEX or 2d8 damage per round until flames extinguished.")</f>
        <v>Hellfire. DC 18 DEX or 2d8 damage per round until flames extinguished.</v>
      </c>
      <c r="T16" s="11"/>
      <c r="U16" s="11"/>
      <c r="V16" s="11"/>
      <c r="W16" s="11"/>
      <c r="X16" s="11"/>
      <c r="Y16" s="11"/>
      <c r="Z16" s="11"/>
      <c r="AA16" s="11"/>
      <c r="AB16" s="11"/>
    </row>
    <row r="17" ht="15.75" customHeight="1">
      <c r="A17" s="11" t="str">
        <f>IFERROR(__xludf.DUMMYFUNCTION("""COMPUTED_VALUE"""),"Devil, Archdevil")</f>
        <v>Devil, Archdevil</v>
      </c>
      <c r="B17" s="12">
        <f>IFERROR(__xludf.DUMMYFUNCTION("""COMPUTED_VALUE"""),25.0)</f>
        <v>25</v>
      </c>
      <c r="C17" s="11" t="str">
        <f>IFERROR(__xludf.DUMMYFUNCTION("""COMPUTED_VALUE"""),"CR")</f>
        <v>CR</v>
      </c>
      <c r="D17" s="11" t="str">
        <f>IFERROR(__xludf.DUMMYFUNCTION("""COMPUTED_VALUE"""),"A stunningly beautiful, horned human with burning, red eyes and a halo of seven black stars. Two stitched-up gashes weep blood from its shoulder blades.")</f>
        <v>A stunningly beautiful, horned human with burning, red eyes and a halo of seven black stars. Two stitched-up gashes weep blood from its shoulder blades.</v>
      </c>
      <c r="E17" s="11">
        <f>IFERROR(__xludf.DUMMYFUNCTION("""COMPUTED_VALUE"""),19.0)</f>
        <v>19</v>
      </c>
      <c r="F17" s="11">
        <f>IFERROR(__xludf.DUMMYFUNCTION("""COMPUTED_VALUE"""),76.0)</f>
        <v>76</v>
      </c>
      <c r="G17" s="11" t="str">
        <f>IFERROR(__xludf.DUMMYFUNCTION("""COMPUTED_VALUE"""),"4 iron scepter +10 (3d10) or 1 soulbind")</f>
        <v>4 iron scepter +10 (3d10) or 1 soulbind</v>
      </c>
      <c r="H17" s="11" t="str">
        <f>IFERROR(__xludf.DUMMYFUNCTION("""COMPUTED_VALUE"""),"far (teleport)")</f>
        <v>far (teleport)</v>
      </c>
      <c r="I17" s="11">
        <f>IFERROR(__xludf.DUMMYFUNCTION("""COMPUTED_VALUE"""),5.0)</f>
        <v>5</v>
      </c>
      <c r="J17" s="11">
        <f>IFERROR(__xludf.DUMMYFUNCTION("""COMPUTED_VALUE"""),4.0)</f>
        <v>4</v>
      </c>
      <c r="K17" s="11">
        <f>IFERROR(__xludf.DUMMYFUNCTION("""COMPUTED_VALUE"""),4.0)</f>
        <v>4</v>
      </c>
      <c r="L17" s="11">
        <f>IFERROR(__xludf.DUMMYFUNCTION("""COMPUTED_VALUE"""),5.0)</f>
        <v>5</v>
      </c>
      <c r="M17" s="11">
        <f>IFERROR(__xludf.DUMMYFUNCTION("""COMPUTED_VALUE"""),4.0)</f>
        <v>4</v>
      </c>
      <c r="N17" s="11">
        <f>IFERROR(__xludf.DUMMYFUNCTION("""COMPUTED_VALUE"""),7.0)</f>
        <v>7</v>
      </c>
      <c r="O17" s="11" t="str">
        <f>IFERROR(__xludf.DUMMYFUNCTION("""COMPUTED_VALUE"""),"C")</f>
        <v>C</v>
      </c>
      <c r="P17" s="13">
        <f>IFERROR(__xludf.DUMMYFUNCTION("""COMPUTED_VALUE"""),16.0)</f>
        <v>16</v>
      </c>
      <c r="Q17" s="11" t="str">
        <f>IFERROR(__xludf.DUMMYFUNCTION("""COMPUTED_VALUE"""),"Impervious. Fire immune. Only damaged by magical sources.")</f>
        <v>Impervious. Fire immune. Only damaged by magical sources.</v>
      </c>
      <c r="R17" s="11" t="str">
        <f>IFERROR(__xludf.DUMMYFUNCTION("""COMPUTED_VALUE"""),"Crown of Darkness. All hostile spells are reflected at caster with a spellcasting check less than 20.")</f>
        <v>Crown of Darkness. All hostile spells are reflected at caster with a spellcasting check less than 20.</v>
      </c>
      <c r="S17" s="11" t="str">
        <f>IFERROR(__xludf.DUMMYFUNCTION("""COMPUTED_VALUE"""),"Soulbind. All targets within near DC 20 CHA or fall under control of archdevil for 1d4 rounds. DC 20 CHA each turn to end the effect.")</f>
        <v>Soulbind. All targets within near DC 20 CHA or fall under control of archdevil for 1d4 rounds. DC 20 CHA each turn to end the effect.</v>
      </c>
      <c r="T17" s="11"/>
      <c r="U17" s="11"/>
      <c r="V17" s="11"/>
      <c r="W17" s="11"/>
      <c r="X17" s="11"/>
      <c r="Y17" s="11"/>
      <c r="Z17" s="11"/>
      <c r="AA17" s="11"/>
      <c r="AB17" s="11"/>
    </row>
    <row r="18" ht="15.75" customHeight="1">
      <c r="A18" s="11" t="str">
        <f>IFERROR(__xludf.DUMMYFUNCTION("""COMPUTED_VALUE"""),"Dragon, Sea")</f>
        <v>Dragon, Sea</v>
      </c>
      <c r="B18" s="12">
        <f>IFERROR(__xludf.DUMMYFUNCTION("""COMPUTED_VALUE"""),16.0)</f>
        <v>16</v>
      </c>
      <c r="C18" s="11" t="str">
        <f>IFERROR(__xludf.DUMMYFUNCTION("""COMPUTED_VALUE"""),"CR")</f>
        <v>CR</v>
      </c>
      <c r="D18" s="11" t="str">
        <f>IFERROR(__xludf.DUMMYFUNCTION("""COMPUTED_VALUE"""),"A warm sea breeze blows around this amphibious, gold-scaled wyrm. A beard of tendrils covers its snout, and a blue mane billows along its neck.")</f>
        <v>A warm sea breeze blows around this amphibious, gold-scaled wyrm. A beard of tendrils covers its snout, and a blue mane billows along its neck.</v>
      </c>
      <c r="E18" s="11">
        <f>IFERROR(__xludf.DUMMYFUNCTION("""COMPUTED_VALUE"""),17.0)</f>
        <v>17</v>
      </c>
      <c r="F18" s="11">
        <f>IFERROR(__xludf.DUMMYFUNCTION("""COMPUTED_VALUE"""),76.0)</f>
        <v>76</v>
      </c>
      <c r="G18" s="11" t="str">
        <f>IFERROR(__xludf.DUMMYFUNCTION("""COMPUTED_VALUE"""),"4 rend +10 (2d10) or 1 steam breath or 1 water spout")</f>
        <v>4 rend +10 (2d10) or 1 steam breath or 1 water spout</v>
      </c>
      <c r="H18" s="11" t="str">
        <f>IFERROR(__xludf.DUMMYFUNCTION("""COMPUTED_VALUE"""),"double near (fly, swim)")</f>
        <v>double near (fly, swim)</v>
      </c>
      <c r="I18" s="11">
        <f>IFERROR(__xludf.DUMMYFUNCTION("""COMPUTED_VALUE"""),5.0)</f>
        <v>5</v>
      </c>
      <c r="J18" s="11">
        <f>IFERROR(__xludf.DUMMYFUNCTION("""COMPUTED_VALUE"""),6.0)</f>
        <v>6</v>
      </c>
      <c r="K18" s="11">
        <f>IFERROR(__xludf.DUMMYFUNCTION("""COMPUTED_VALUE"""),4.0)</f>
        <v>4</v>
      </c>
      <c r="L18" s="11">
        <f>IFERROR(__xludf.DUMMYFUNCTION("""COMPUTED_VALUE"""),4.0)</f>
        <v>4</v>
      </c>
      <c r="M18" s="11">
        <f>IFERROR(__xludf.DUMMYFUNCTION("""COMPUTED_VALUE"""),5.0)</f>
        <v>5</v>
      </c>
      <c r="N18" s="11">
        <f>IFERROR(__xludf.DUMMYFUNCTION("""COMPUTED_VALUE"""),5.0)</f>
        <v>5</v>
      </c>
      <c r="O18" s="11" t="str">
        <f>IFERROR(__xludf.DUMMYFUNCTION("""COMPUTED_VALUE"""),"L")</f>
        <v>L</v>
      </c>
      <c r="P18" s="13">
        <f>IFERROR(__xludf.DUMMYFUNCTION("""COMPUTED_VALUE"""),16.0)</f>
        <v>16</v>
      </c>
      <c r="Q18" s="11" t="str">
        <f>IFERROR(__xludf.DUMMYFUNCTION("""COMPUTED_VALUE"""),"Steam Breath. Fills a double near-sized cube extending from dragon. DC 15 DEX or 4d12 damage.")</f>
        <v>Steam Breath. Fills a double near-sized cube extending from dragon. DC 15 DEX or 4d12 damage.</v>
      </c>
      <c r="R18" s="11" t="str">
        <f>IFERROR(__xludf.DUMMYFUNCTION("""COMPUTED_VALUE"""),"Water Spout. Fills a near-sized cube within far. DC 15 STR or creatures inside flung 2d100 feet in a random direction.")</f>
        <v>Water Spout. Fills a near-sized cube within far. DC 15 STR or creatures inside flung 2d100 feet in a random direction.</v>
      </c>
      <c r="S18" s="11"/>
      <c r="T18" s="11"/>
      <c r="U18" s="11"/>
      <c r="V18" s="11"/>
      <c r="W18" s="11"/>
      <c r="X18" s="11"/>
      <c r="Y18" s="11"/>
      <c r="Z18" s="11"/>
      <c r="AA18" s="11"/>
      <c r="AB18" s="11"/>
    </row>
    <row r="19" ht="15.75" customHeight="1">
      <c r="A19" s="11" t="str">
        <f>IFERROR(__xludf.DUMMYFUNCTION("""COMPUTED_VALUE"""),"Obe-Ixx Of Azarumme")</f>
        <v>Obe-Ixx Of Azarumme</v>
      </c>
      <c r="B19" s="12" t="str">
        <f>IFERROR(__xludf.DUMMYFUNCTION("""COMPUTED_VALUE"""),"")</f>
        <v/>
      </c>
      <c r="C19" s="11" t="str">
        <f>IFERROR(__xludf.DUMMYFUNCTION("""COMPUTED_VALUE"""),"CR")</f>
        <v>CR</v>
      </c>
      <c r="D19" s="11" t="str">
        <f>IFERROR(__xludf.DUMMYFUNCTION("""COMPUTED_VALUE"""),"A pale, angular woman in translucent plate mail fashioned from giant scorpion chitin. Obe-Ixx, daughter of Azarumme, rose up from the prehistoric barbarian tribes of Tal-Yool to conquer all in her path. One day, she stood at the steps of an obsidian ziggu"&amp;"rat deep within the trackless jungle. Forty nights later, Obe-Ixx emerged as the ur-vampire, bloodlust made flesh. Her dynasty would rise and fall again and again over the coming millennia.")</f>
        <v>A pale, angular woman in translucent plate mail fashioned from giant scorpion chitin. Obe-Ixx, daughter of Azarumme, rose up from the prehistoric barbarian tribes of Tal-Yool to conquer all in her path. One day, she stood at the steps of an obsidian ziggurat deep within the trackless jungle. Forty nights later, Obe-Ixx emerged as the ur-vampire, bloodlust made flesh. Her dynasty would rise and fall again and again over the coming millennia.</v>
      </c>
      <c r="E19" s="11" t="str">
        <f>IFERROR(__xludf.DUMMYFUNCTION("""COMPUTED_VALUE"""),"18 (+3 plate mail)")</f>
        <v>18 (+3 plate mail)</v>
      </c>
      <c r="F19" s="11">
        <f>IFERROR(__xludf.DUMMYFUNCTION("""COMPUTED_VALUE"""),76.0)</f>
        <v>76</v>
      </c>
      <c r="G19" s="11" t="str">
        <f>IFERROR(__xludf.DUMMYFUNCTION("""COMPUTED_VALUE"""),"4 greatsword (near) +11 (1d12 + 2 + Moonbite properties) and 1 bite + 9 (1d8 + blood drain) and 1 charm")</f>
        <v>4 greatsword (near) +11 (1d12 + 2 + Moonbite properties) and 1 bite + 9 (1d8 + blood drain) and 1 charm</v>
      </c>
      <c r="H19" s="11" t="str">
        <f>IFERROR(__xludf.DUMMYFUNCTION("""COMPUTED_VALUE"""),"near (climb, fly)")</f>
        <v>near (climb, fly)</v>
      </c>
      <c r="I19" s="11">
        <f>IFERROR(__xludf.DUMMYFUNCTION("""COMPUTED_VALUE"""),5.0)</f>
        <v>5</v>
      </c>
      <c r="J19" s="11">
        <f>IFERROR(__xludf.DUMMYFUNCTION("""COMPUTED_VALUE"""),3.0)</f>
        <v>3</v>
      </c>
      <c r="K19" s="11">
        <f>IFERROR(__xludf.DUMMYFUNCTION("""COMPUTED_VALUE"""),4.0)</f>
        <v>4</v>
      </c>
      <c r="L19" s="11">
        <f>IFERROR(__xludf.DUMMYFUNCTION("""COMPUTED_VALUE"""),3.0)</f>
        <v>3</v>
      </c>
      <c r="M19" s="11">
        <f>IFERROR(__xludf.DUMMYFUNCTION("""COMPUTED_VALUE"""),4.0)</f>
        <v>4</v>
      </c>
      <c r="N19" s="11">
        <f>IFERROR(__xludf.DUMMYFUNCTION("""COMPUTED_VALUE"""),5.0)</f>
        <v>5</v>
      </c>
      <c r="O19" s="11" t="str">
        <f>IFERROR(__xludf.DUMMYFUNCTION("""COMPUTED_VALUE"""),"C")</f>
        <v>C</v>
      </c>
      <c r="P19" s="13">
        <f>IFERROR(__xludf.DUMMYFUNCTION("""COMPUTED_VALUE"""),16.0)</f>
        <v>16</v>
      </c>
      <c r="Q19" s="11" t="str">
        <f>IFERROR(__xludf.DUMMYFUNCTION("""COMPUTED_VALUE"""),"Immune to morale checks. Only damaged by magical sources. Hostile spells targeting Obe-Ixx are DC 18 to cast.")</f>
        <v>Immune to morale checks. Only damaged by magical sources. Hostile spells targeting Obe-Ixx are DC 18 to cast.</v>
      </c>
      <c r="R19" s="11" t="str">
        <f>IFERROR(__xludf.DUMMYFUNCTION("""COMPUTED_VALUE"""),"Blood Drain. Obe-Ixx heals 2d8 HP, target loses 1d6 CON. At 0 CON, target dies and rises as a loyal vampire or vampire spawn (Obe-Ixx chooses).")</f>
        <v>Blood Drain. Obe-Ixx heals 2d8 HP, target loses 1d6 CON. At 0 CON, target dies and rises as a loyal vampire or vampire spawn (Obe-Ixx chooses).</v>
      </c>
      <c r="S19" s="11" t="str">
        <f>IFERROR(__xludf.DUMMYFUNCTION("""COMPUTED_VALUE"""),"Charm. One humanoid target who can see Obe-Ixx within near, DC 15 CHA or under Obe-Ixx's control for 1d4 days.")</f>
        <v>Charm. One humanoid target who can see Obe-Ixx within near, DC 15 CHA or under Obe-Ixx's control for 1d4 days.</v>
      </c>
      <c r="T19" s="11" t="str">
        <f>IFERROR(__xludf.DUMMYFUNCTION("""COMPUTED_VALUE"""),"Moonbite Properties. +2 greatsword, thrown weapon, returns after being thrown. Spells to heal damage it inflicts are DC 15 to cast.")</f>
        <v>Moonbite Properties. +2 greatsword, thrown weapon, returns after being thrown. Spells to heal damage it inflicts are DC 15 to cast.</v>
      </c>
      <c r="U19" s="11" t="str">
        <f>IFERROR(__xludf.DUMMYFUNCTION("""COMPUTED_VALUE"""),"Shapechange. In place of attacks, turn into a giant bat, dire wolf, or back into regular form.")</f>
        <v>Shapechange. In place of attacks, turn into a giant bat, dire wolf, or back into regular form.</v>
      </c>
      <c r="V19" s="11" t="str">
        <f>IFERROR(__xludf.DUMMYFUNCTION("""COMPUTED_VALUE"""),"Ur-Vampire. Must sleep in sarcophagus at least once per moon cycle or loses 2d8 HP per day that cannot heal until sleeping in sarcophagus. Takes 3d8 damage each round while in direct sunlight. Cannot be killed unless pierced through heart while at 0 HP wi"&amp;"th a wooden stake carved from a tree from the Tal-Yool jungle.")</f>
        <v>Ur-Vampire. Must sleep in sarcophagus at least once per moon cycle or loses 2d8 HP per day that cannot heal until sleeping in sarcophagus. Takes 3d8 damage each round while in direct sunlight. Cannot be killed unless pierced through heart while at 0 HP with a wooden stake carved from a tree from the Tal-Yool jungle.</v>
      </c>
      <c r="W19" s="11"/>
      <c r="X19" s="11"/>
      <c r="Y19" s="11"/>
      <c r="Z19" s="11"/>
      <c r="AA19" s="11"/>
      <c r="AB19" s="11"/>
    </row>
  </sheetData>
  <customSheetViews>
    <customSheetView guid="{4FEF9F0C-4236-4853-B093-88FE2289FD26}" filter="1" showAutoFilter="1">
      <autoFilter ref="$A$1:$AB$19">
        <filterColumn colId="2">
          <filters>
            <filter val="CR"/>
          </filters>
        </filterColumn>
      </autoFilter>
    </customSheetView>
    <customSheetView guid="{7904D927-A127-473C-8B57-4EE1C7E3FAE9}" filter="1" showAutoFilter="1">
      <autoFilter ref="$A$1:$AB$19">
        <filterColumn colId="2">
          <filters/>
        </filterColumn>
      </autoFilter>
    </customSheetView>
    <customSheetView guid="{7B4FF760-C879-4C05-8F10-45D59B7E7C3E}" filter="1" showAutoFilter="1">
      <autoFilter ref="$A$1:$AB$19">
        <filterColumn colId="2">
          <filters/>
        </filterColumn>
      </autoFilter>
    </customSheetView>
    <customSheetView guid="{51DCF084-7C01-403C-9896-1E7742DCA6B3}" filter="1" showAutoFilter="1">
      <autoFilter ref="$A$1:$AB$19"/>
    </customSheetView>
    <customSheetView guid="{6B2E9E35-D6A1-4749-95F2-2658A691119A}" filter="1" showAutoFilter="1">
      <autoFilter ref="$A$1:$AB$19">
        <filterColumn colId="2">
          <filters/>
        </filterColumn>
      </autoFilter>
    </customSheetView>
    <customSheetView guid="{5CDEC3B1-201F-4BAD-941F-A80E62A04015}" filter="1" showAutoFilter="1">
      <autoFilter ref="$A$1:$AB$19">
        <filterColumn colId="2">
          <filters/>
        </filterColumn>
      </autoFilter>
    </customSheetView>
  </customSheetView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6.13"/>
    <col customWidth="1" min="3" max="3" width="6.25"/>
    <col customWidth="1" min="4" max="4" width="25.13"/>
    <col customWidth="1" min="5" max="5" width="9.25"/>
    <col customWidth="1" min="6" max="6" width="6.13"/>
    <col customWidth="1" min="7" max="7" width="18.88"/>
    <col customWidth="1" min="8" max="8" width="8.25"/>
    <col customWidth="1" min="9" max="13" width="5.13"/>
    <col customWidth="1" min="14" max="16" width="5.75"/>
    <col customWidth="1" min="17" max="26" width="25.13"/>
  </cols>
  <sheetData>
    <row r="1" ht="15.75" customHeight="1">
      <c r="A1" s="8" t="s">
        <v>3</v>
      </c>
      <c r="B1" s="8" t="s">
        <v>4</v>
      </c>
      <c r="C1" s="9" t="s">
        <v>5</v>
      </c>
      <c r="D1" s="9" t="s">
        <v>6</v>
      </c>
      <c r="E1" s="9" t="s">
        <v>7</v>
      </c>
      <c r="F1" s="9" t="s">
        <v>8</v>
      </c>
      <c r="G1" s="9" t="s">
        <v>9</v>
      </c>
      <c r="H1" s="9" t="s">
        <v>10</v>
      </c>
      <c r="I1" s="9" t="s">
        <v>11</v>
      </c>
      <c r="J1" s="9" t="s">
        <v>12</v>
      </c>
      <c r="K1" s="9" t="s">
        <v>13</v>
      </c>
      <c r="L1" s="9" t="s">
        <v>14</v>
      </c>
      <c r="M1" s="9" t="s">
        <v>15</v>
      </c>
      <c r="N1" s="9" t="s">
        <v>16</v>
      </c>
      <c r="O1" s="9" t="s">
        <v>17</v>
      </c>
      <c r="P1" s="9" t="s">
        <v>18</v>
      </c>
      <c r="Q1" s="8" t="s">
        <v>19</v>
      </c>
      <c r="R1" s="8" t="s">
        <v>20</v>
      </c>
      <c r="S1" s="8" t="s">
        <v>21</v>
      </c>
      <c r="T1" s="8" t="s">
        <v>22</v>
      </c>
      <c r="U1" s="8" t="s">
        <v>23</v>
      </c>
      <c r="V1" s="8" t="s">
        <v>24</v>
      </c>
      <c r="W1" s="8" t="s">
        <v>25</v>
      </c>
      <c r="X1" s="8" t="s">
        <v>26</v>
      </c>
      <c r="Y1" s="8" t="s">
        <v>27</v>
      </c>
      <c r="Z1" s="8" t="s">
        <v>28</v>
      </c>
      <c r="AA1" s="10"/>
      <c r="AB1" s="10"/>
    </row>
    <row r="2" ht="15.75" customHeight="1">
      <c r="A2" s="11" t="str">
        <f>IFERROR(__xludf.DUMMYFUNCTION("SORT(
  FILTER(All!A5:Z1000, All!P5:P1000 &gt; 16),
  16, TRUE,
  1, TRUE
)
"),"Dragon, Fire")</f>
        <v>Dragon, Fire</v>
      </c>
      <c r="B2" s="12">
        <f>IFERROR(__xludf.DUMMYFUNCTION("""COMPUTED_VALUE"""),17.0)</f>
        <v>17</v>
      </c>
      <c r="C2" s="11" t="str">
        <f>IFERROR(__xludf.DUMMYFUNCTION("""COMPUTED_VALUE"""),"CR")</f>
        <v>CR</v>
      </c>
      <c r="D2" s="11" t="str">
        <f>IFERROR(__xludf.DUMMYFUNCTION("""COMPUTED_VALUE"""),"Blood-red scales cover the hide of this mighty, volcanic wyrm. Leaping flames glow at the back of its throat.")</f>
        <v>Blood-red scales cover the hide of this mighty, volcanic wyrm. Leaping flames glow at the back of its throat.</v>
      </c>
      <c r="E2" s="11">
        <f>IFERROR(__xludf.DUMMYFUNCTION("""COMPUTED_VALUE"""),18.0)</f>
        <v>18</v>
      </c>
      <c r="F2" s="11">
        <f>IFERROR(__xludf.DUMMYFUNCTION("""COMPUTED_VALUE"""),80.0)</f>
        <v>80</v>
      </c>
      <c r="G2" s="11" t="str">
        <f>IFERROR(__xludf.DUMMYFUNCTION("""COMPUTED_VALUE"""),"4 rend +11 (2d12) or 1 fire breath")</f>
        <v>4 rend +11 (2d12) or 1 fire breath</v>
      </c>
      <c r="H2" s="11" t="str">
        <f>IFERROR(__xludf.DUMMYFUNCTION("""COMPUTED_VALUE"""),"double near (fly)")</f>
        <v>double near (fly)</v>
      </c>
      <c r="I2" s="11">
        <f>IFERROR(__xludf.DUMMYFUNCTION("""COMPUTED_VALUE"""),6.0)</f>
        <v>6</v>
      </c>
      <c r="J2" s="11">
        <f>IFERROR(__xludf.DUMMYFUNCTION("""COMPUTED_VALUE"""),5.0)</f>
        <v>5</v>
      </c>
      <c r="K2" s="11">
        <f>IFERROR(__xludf.DUMMYFUNCTION("""COMPUTED_VALUE"""),4.0)</f>
        <v>4</v>
      </c>
      <c r="L2" s="11">
        <f>IFERROR(__xludf.DUMMYFUNCTION("""COMPUTED_VALUE"""),4.0)</f>
        <v>4</v>
      </c>
      <c r="M2" s="11">
        <f>IFERROR(__xludf.DUMMYFUNCTION("""COMPUTED_VALUE"""),4.0)</f>
        <v>4</v>
      </c>
      <c r="N2" s="11">
        <f>IFERROR(__xludf.DUMMYFUNCTION("""COMPUTED_VALUE"""),5.0)</f>
        <v>5</v>
      </c>
      <c r="O2" s="11" t="str">
        <f>IFERROR(__xludf.DUMMYFUNCTION("""COMPUTED_VALUE"""),"C")</f>
        <v>C</v>
      </c>
      <c r="P2" s="13">
        <f>IFERROR(__xludf.DUMMYFUNCTION("""COMPUTED_VALUE"""),17.0)</f>
        <v>17</v>
      </c>
      <c r="Q2" s="11" t="str">
        <f>IFERROR(__xludf.DUMMYFUNCTION("""COMPUTED_VALUE"""),"Fireblood. Fire immune.")</f>
        <v>Fireblood. Fire immune.</v>
      </c>
      <c r="R2" s="11" t="str">
        <f>IFERROR(__xludf.DUMMYFUNCTION("""COMPUTED_VALUE"""),"Fire Breath. Fills a double near-sized cube extending from dragon. DC 15 DEX or 6d10 damage.")</f>
        <v>Fire Breath. Fills a double near-sized cube extending from dragon. DC 15 DEX or 6d10 damage.</v>
      </c>
      <c r="S2" s="11"/>
      <c r="T2" s="11"/>
      <c r="U2" s="11"/>
      <c r="V2" s="11"/>
      <c r="W2" s="11"/>
      <c r="X2" s="11"/>
      <c r="Y2" s="11"/>
      <c r="Z2" s="11"/>
      <c r="AA2" s="11"/>
      <c r="AB2" s="11"/>
    </row>
    <row r="3" ht="15.75" customHeight="1">
      <c r="A3" s="11" t="str">
        <f>IFERROR(__xludf.DUMMYFUNCTION("""COMPUTED_VALUE"""),"Kraken")</f>
        <v>Kraken</v>
      </c>
      <c r="B3" s="12">
        <f>IFERROR(__xludf.DUMMYFUNCTION("""COMPUTED_VALUE"""),23.0)</f>
        <v>23</v>
      </c>
      <c r="C3" s="11" t="str">
        <f>IFERROR(__xludf.DUMMYFUNCTION("""COMPUTED_VALUE"""),"CR")</f>
        <v>CR</v>
      </c>
      <c r="D3" s="11" t="str">
        <f>IFERROR(__xludf.DUMMYFUNCTION("""COMPUTED_VALUE"""),"Primordial, tentacled leviathans the size of war galleons. They live in the lightless depths of the deep ocean.")</f>
        <v>Primordial, tentacled leviathans the size of war galleons. They live in the lightless depths of the deep ocean.</v>
      </c>
      <c r="E3" s="11">
        <f>IFERROR(__xludf.DUMMYFUNCTION("""COMPUTED_VALUE"""),18.0)</f>
        <v>18</v>
      </c>
      <c r="F3" s="11">
        <f>IFERROR(__xludf.DUMMYFUNCTION("""COMPUTED_VALUE"""),80.0)</f>
        <v>80</v>
      </c>
      <c r="G3" s="11" t="str">
        <f>IFERROR(__xludf.DUMMYFUNCTION("""COMPUTED_VALUE"""),"4 tentacle (near) +9 (2d12) or 1 storm or 1d4 lightning bolt")</f>
        <v>4 tentacle (near) +9 (2d12) or 1 storm or 1d4 lightning bolt</v>
      </c>
      <c r="H3" s="11" t="str">
        <f>IFERROR(__xludf.DUMMYFUNCTION("""COMPUTED_VALUE"""),"double near (swim)")</f>
        <v>double near (swim)</v>
      </c>
      <c r="I3" s="11">
        <f>IFERROR(__xludf.DUMMYFUNCTION("""COMPUTED_VALUE"""),6.0)</f>
        <v>6</v>
      </c>
      <c r="J3" s="11">
        <f>IFERROR(__xludf.DUMMYFUNCTION("""COMPUTED_VALUE"""),3.0)</f>
        <v>3</v>
      </c>
      <c r="K3" s="11">
        <f>IFERROR(__xludf.DUMMYFUNCTION("""COMPUTED_VALUE"""),4.0)</f>
        <v>4</v>
      </c>
      <c r="L3" s="11">
        <f>IFERROR(__xludf.DUMMYFUNCTION("""COMPUTED_VALUE"""),4.0)</f>
        <v>4</v>
      </c>
      <c r="M3" s="11">
        <f>IFERROR(__xludf.DUMMYFUNCTION("""COMPUTED_VALUE"""),3.0)</f>
        <v>3</v>
      </c>
      <c r="N3" s="11">
        <f>IFERROR(__xludf.DUMMYFUNCTION("""COMPUTED_VALUE"""),4.0)</f>
        <v>4</v>
      </c>
      <c r="O3" s="11" t="str">
        <f>IFERROR(__xludf.DUMMYFUNCTION("""COMPUTED_VALUE"""),"C")</f>
        <v>C</v>
      </c>
      <c r="P3" s="13">
        <f>IFERROR(__xludf.DUMMYFUNCTION("""COMPUTED_VALUE"""),17.0)</f>
        <v>17</v>
      </c>
      <c r="Q3" s="11" t="str">
        <f>IFERROR(__xludf.DUMMYFUNCTION("""COMPUTED_VALUE"""),"Impervious. Electricity immune.")</f>
        <v>Impervious. Electricity immune.</v>
      </c>
      <c r="R3" s="11" t="str">
        <f>IFERROR(__xludf.DUMMYFUNCTION("""COMPUTED_VALUE"""),"Crush. Tentacle attacks deal double damage against objects.")</f>
        <v>Crush. Tentacle attacks deal double damage against objects.</v>
      </c>
      <c r="S3" s="11" t="str">
        <f>IFERROR(__xludf.DUMMYFUNCTION("""COMPUTED_VALUE"""),"Lighting Bolt. Straight line (5' wide) extending far from kraken. DC 15 DEX or 6d6 damage.")</f>
        <v>Lighting Bolt. Straight line (5' wide) extending far from kraken. DC 15 DEX or 6d6 damage.</v>
      </c>
      <c r="T3" s="11" t="str">
        <f>IFERROR(__xludf.DUMMYFUNCTION("""COMPUTED_VALUE"""),"Storm. Seas become violently turbulent in 1 mile radius around kraken. Lasts 2d4 rounds. Seaborne vessels have a 1:6 chance of capsizing each round.")</f>
        <v>Storm. Seas become violently turbulent in 1 mile radius around kraken. Lasts 2d4 rounds. Seaborne vessels have a 1:6 chance of capsizing each round.</v>
      </c>
      <c r="U3" s="11"/>
      <c r="V3" s="11"/>
      <c r="W3" s="11"/>
      <c r="X3" s="11"/>
      <c r="Y3" s="11"/>
      <c r="Z3" s="11"/>
      <c r="AA3" s="11"/>
      <c r="AB3" s="11"/>
    </row>
    <row r="4" ht="15.75" customHeight="1">
      <c r="A4" s="11" t="str">
        <f>IFERROR(__xludf.DUMMYFUNCTION("""COMPUTED_VALUE"""),"The Ten-Eyed Oracle")</f>
        <v>The Ten-Eyed Oracle</v>
      </c>
      <c r="B4" s="12" t="str">
        <f>IFERROR(__xludf.DUMMYFUNCTION("""COMPUTED_VALUE"""),"")</f>
        <v/>
      </c>
      <c r="C4" s="11" t="str">
        <f>IFERROR(__xludf.DUMMYFUNCTION("""COMPUTED_VALUE"""),"CR")</f>
        <v>CR</v>
      </c>
      <c r="D4" s="11" t="str">
        <f>IFERROR(__xludf.DUMMYFUNCTION("""COMPUTED_VALUE"""),"A floating mass of rubbery skin crusted with barnacles. Its ten eyestalks writhe like snakes, and a deep, circular scar mars its central body, blinding what was once a large eye above a lipless maw. The Ten-Eyed Oracle stalks the Shadowdark, burbling mad "&amp;"prophesies and somehow moving freely between the lightless fathoms of the earth. The keepers of the deep lore suspect The Ten-Eyed Oracle was once a benevolent ally of mankind, but an unknown calamity drove it to insanity and reckless hatred.")</f>
        <v>A floating mass of rubbery skin crusted with barnacles. Its ten eyestalks writhe like snakes, and a deep, circular scar mars its central body, blinding what was once a large eye above a lipless maw. The Ten-Eyed Oracle stalks the Shadowdark, burbling mad prophesies and somehow moving freely between the lightless fathoms of the earth. The keepers of the deep lore suspect The Ten-Eyed Oracle was once a benevolent ally of mankind, but an unknown calamity drove it to insanity and reckless hatred.</v>
      </c>
      <c r="E4" s="11">
        <f>IFERROR(__xludf.DUMMYFUNCTION("""COMPUTED_VALUE"""),17.0)</f>
        <v>17</v>
      </c>
      <c r="F4" s="11">
        <f>IFERROR(__xludf.DUMMYFUNCTION("""COMPUTED_VALUE"""),85.0)</f>
        <v>85</v>
      </c>
      <c r="G4" s="11" t="str">
        <f>IFERROR(__xludf.DUMMYFUNCTION("""COMPUTED_VALUE"""),"2d4 eyestalk ray")</f>
        <v>2d4 eyestalk ray</v>
      </c>
      <c r="H4" s="11" t="str">
        <f>IFERROR(__xludf.DUMMYFUNCTION("""COMPUTED_VALUE"""),"near (fly)")</f>
        <v>near (fly)</v>
      </c>
      <c r="I4" s="11">
        <f>IFERROR(__xludf.DUMMYFUNCTION("""COMPUTED_VALUE"""),4.0)</f>
        <v>4</v>
      </c>
      <c r="J4" s="11">
        <f>IFERROR(__xludf.DUMMYFUNCTION("""COMPUTED_VALUE"""),5.0)</f>
        <v>5</v>
      </c>
      <c r="K4" s="11">
        <f>IFERROR(__xludf.DUMMYFUNCTION("""COMPUTED_VALUE"""),4.0)</f>
        <v>4</v>
      </c>
      <c r="L4" s="11">
        <f>IFERROR(__xludf.DUMMYFUNCTION("""COMPUTED_VALUE"""),5.0)</f>
        <v>5</v>
      </c>
      <c r="M4" s="11">
        <f>IFERROR(__xludf.DUMMYFUNCTION("""COMPUTED_VALUE"""),4.0)</f>
        <v>4</v>
      </c>
      <c r="N4" s="11">
        <f>IFERROR(__xludf.DUMMYFUNCTION("""COMPUTED_VALUE"""),4.0)</f>
        <v>4</v>
      </c>
      <c r="O4" s="11" t="str">
        <f>IFERROR(__xludf.DUMMYFUNCTION("""COMPUTED_VALUE"""),"C")</f>
        <v>C</v>
      </c>
      <c r="P4" s="13">
        <f>IFERROR(__xludf.DUMMYFUNCTION("""COMPUTED_VALUE"""),18.0)</f>
        <v>18</v>
      </c>
      <c r="Q4" s="11" t="str">
        <f>IFERROR(__xludf.DUMMYFUNCTION("""COMPUTED_VALUE"""),"Legendary. Only damaged by magical sources. Hostile spells targeting The Ten-Eyed Oracle are DC 18 to cast.")</f>
        <v>Legendary. Only damaged by magical sources. Hostile spells targeting The Ten-Eyed Oracle are DC 18 to cast.</v>
      </c>
      <c r="R4" s="11" t="str">
        <f>IFERROR(__xludf.DUMMYFUNCTION("""COMPUTED_VALUE"""),"Eyestalk Ray. Each ray can shoot once per round and target one creature or an object up to 1,000 pounds (up to four on same target).
1. Charm. DC 15 CHA or become ally for 1d4 rounds.
2. Hold. DC 15 STR or paralyzed 1d4 rounds.
3. Sleep. DC 15 WIS or asle"&amp;"ep 1d4 rounds.
4. Polymorph. DC 15 INT or turned into vermin for 1d4 rounds.
5. Cancel. DC 15 DEX or all magical effects on target end.
6. Confusion. DC 15 WIS or attack a random ally within near.
7. Telekinesis. DC 15 STR or hover target up to double nea"&amp;"r.
8. Disintegrate. DC 15 DEX or 5d8 damage (object destroyed).
9. Petrify. DC 15 CON or petrified.
10. Death. DC 15 CON or drop to 0 HP with a death timer of 1.")</f>
        <v>Eyestalk Ray. Each ray can shoot once per round and target one creature or an object up to 1,000 pounds (up to four on same target).
1. Charm. DC 15 CHA or become ally for 1d4 rounds.
2. Hold. DC 15 STR or paralyzed 1d4 rounds.
3. Sleep. DC 15 WIS or asleep 1d4 rounds.
4. Polymorph. DC 15 INT or turned into vermin for 1d4 rounds.
5. Cancel. DC 15 DEX or all magical effects on target end.
6. Confusion. DC 15 WIS or attack a random ally within near.
7. Telekinesis. DC 15 STR or hover target up to double near.
8. Disintegrate. DC 15 DEX or 5d8 damage (object destroyed).
9. Petrify. DC 15 CON or petrified.
10. Death. DC 15 CON or drop to 0 HP with a death timer of 1.</v>
      </c>
      <c r="S4" s="11"/>
      <c r="T4" s="11"/>
      <c r="U4" s="11"/>
      <c r="V4" s="11"/>
      <c r="W4" s="11"/>
      <c r="X4" s="11"/>
      <c r="Y4" s="11"/>
      <c r="Z4" s="11"/>
      <c r="AA4" s="11"/>
      <c r="AB4" s="11"/>
    </row>
    <row r="5" ht="15.75" customHeight="1">
      <c r="A5" s="11" t="str">
        <f>IFERROR(__xludf.DUMMYFUNCTION("""COMPUTED_VALUE"""),"Mordanticus The Flayed")</f>
        <v>Mordanticus The Flayed</v>
      </c>
      <c r="B5" s="12" t="str">
        <f>IFERROR(__xludf.DUMMYFUNCTION("""COMPUTED_VALUE"""),"")</f>
        <v/>
      </c>
      <c r="C5" s="11" t="str">
        <f>IFERROR(__xludf.DUMMYFUNCTION("""COMPUTED_VALUE"""),"CR")</f>
        <v>CR</v>
      </c>
      <c r="D5" s="11" t="str">
        <f>IFERROR(__xludf.DUMMYFUNCTION("""COMPUTED_VALUE"""),"A skinless mummy-lich wearing a crown set with nine bright gems. Once the head of the ancient, wizardly order of Gehemna, Mordanticus now lives in secret within the sanctum of Gehemna's reigning archmage. He has served as an advisor and historian for cent"&amp;"uries, but an enduring enchantment prevents him from speaking of two topics: his origins, and The Ten-Eyed Oracle.")</f>
        <v>A skinless mummy-lich wearing a crown set with nine bright gems. Once the head of the ancient, wizardly order of Gehemna, Mordanticus now lives in secret within the sanctum of Gehemna's reigning archmage. He has served as an advisor and historian for centuries, but an enduring enchantment prevents him from speaking of two topics: his origins, and The Ten-Eyed Oracle.</v>
      </c>
      <c r="E5" s="11">
        <f>IFERROR(__xludf.DUMMYFUNCTION("""COMPUTED_VALUE"""),17.0)</f>
        <v>17</v>
      </c>
      <c r="F5" s="11">
        <f>IFERROR(__xludf.DUMMYFUNCTION("""COMPUTED_VALUE"""),89.0)</f>
        <v>89</v>
      </c>
      <c r="G5" s="11" t="str">
        <f>IFERROR(__xludf.DUMMYFUNCTION("""COMPUTED_VALUE"""),"1 rot touch +8 (1d10 + necrosis) and 3 spell +8")</f>
        <v>1 rot touch +8 (1d10 + necrosis) and 3 spell +8</v>
      </c>
      <c r="H5" s="11" t="str">
        <f>IFERROR(__xludf.DUMMYFUNCTION("""COMPUTED_VALUE"""),"near")</f>
        <v>near</v>
      </c>
      <c r="I5" s="11">
        <f>IFERROR(__xludf.DUMMYFUNCTION("""COMPUTED_VALUE"""),4.0)</f>
        <v>4</v>
      </c>
      <c r="J5" s="11">
        <f>IFERROR(__xludf.DUMMYFUNCTION("""COMPUTED_VALUE"""),4.0)</f>
        <v>4</v>
      </c>
      <c r="K5" s="11">
        <f>IFERROR(__xludf.DUMMYFUNCTION("""COMPUTED_VALUE"""),4.0)</f>
        <v>4</v>
      </c>
      <c r="L5" s="11">
        <f>IFERROR(__xludf.DUMMYFUNCTION("""COMPUTED_VALUE"""),5.0)</f>
        <v>5</v>
      </c>
      <c r="M5" s="11">
        <f>IFERROR(__xludf.DUMMYFUNCTION("""COMPUTED_VALUE"""),4.0)</f>
        <v>4</v>
      </c>
      <c r="N5" s="11">
        <f>IFERROR(__xludf.DUMMYFUNCTION("""COMPUTED_VALUE"""),5.0)</f>
        <v>5</v>
      </c>
      <c r="O5" s="11" t="str">
        <f>IFERROR(__xludf.DUMMYFUNCTION("""COMPUTED_VALUE"""),"N")</f>
        <v>N</v>
      </c>
      <c r="P5" s="13">
        <f>IFERROR(__xludf.DUMMYFUNCTION("""COMPUTED_VALUE"""),19.0)</f>
        <v>19</v>
      </c>
      <c r="Q5" s="11" t="str">
        <f>IFERROR(__xludf.DUMMYFUNCTION("""COMPUTED_VALUE"""),"Legendary Undead. Immune to morale checks. Only damaged by magical sources. Hostile spells targeting Mordanticus are DC 18 to cast.")</f>
        <v>Legendary Undead. Immune to morale checks. Only damaged by magical sources. Hostile spells targeting Mordanticus are DC 18 to cast.</v>
      </c>
      <c r="R5" s="11" t="str">
        <f>IFERROR(__xludf.DUMMYFUNCTION("""COMPUTED_VALUE"""),"Crown of Gehemna. 3/day, cause a spell being cast within far to fail.")</f>
        <v>Crown of Gehemna. 3/day, cause a spell being cast within far to fail.</v>
      </c>
      <c r="S5" s="11" t="str">
        <f>IFERROR(__xludf.DUMMYFUNCTION("""COMPUTED_VALUE"""),"Necrosis. DC 15 CON or go to 0 HP. Healing spells are DC 15 to cast on target while affected by necrosis.")</f>
        <v>Necrosis. DC 15 CON or go to 0 HP. Healing spells are DC 15 to cast on target while affected by necrosis.</v>
      </c>
      <c r="T5" s="11" t="str">
        <f>IFERROR(__xludf.DUMMYFUNCTION("""COMPUTED_VALUE"""),"Phylactery. Cannot be killed while spirit vessel (a diamond) is intact.")</f>
        <v>Phylactery. Cannot be killed while spirit vessel (a diamond) is intact.</v>
      </c>
      <c r="U5" s="11" t="str">
        <f>IFERROR(__xludf.DUMMYFUNCTION("""COMPUTED_VALUE"""),"Absorb (INT Spell). DC 13. Near, one target. Target loses the ability to cast one random spell until completing a rest, and Mordanticus regains a lost spell of the same tier or less.")</f>
        <v>Absorb (INT Spell). DC 13. Near, one target. Target loses the ability to cast one random spell until completing a rest, and Mordanticus regains a lost spell of the same tier or less.</v>
      </c>
      <c r="V5" s="11" t="str">
        <f>IFERROR(__xludf.DUMMYFUNCTION("""COMPUTED_VALUE"""),"Banish (INT Spell). DC 14. All extradimensional creatures within near DC 15 CHA or sent back to their home planes.")</f>
        <v>Banish (INT Spell). DC 14. All extradimensional creatures within near DC 15 CHA or sent back to their home planes.</v>
      </c>
      <c r="W5" s="11" t="str">
        <f>IFERROR(__xludf.DUMMYFUNCTION("""COMPUTED_VALUE"""),"Bind (INT Spell). DC 12. One humanoid in far paralyzed 1d4 rounds.")</f>
        <v>Bind (INT Spell). DC 12. One humanoid in far paralyzed 1d4 rounds.</v>
      </c>
      <c r="X5" s="11" t="str">
        <f>IFERROR(__xludf.DUMMYFUNCTION("""COMPUTED_VALUE"""),"Blast (INT Spell). DC 14. One creature in near takes 5d8 damage")</f>
        <v>Blast (INT Spell). DC 14. One creature in near takes 5d8 damage</v>
      </c>
      <c r="Y5" s="11" t="str">
        <f>IFERROR(__xludf.DUMMYFUNCTION("""COMPUTED_VALUE"""),"Phase (INT Spell). DC 13. Self. Teleport up to one mile.")</f>
        <v>Phase (INT Spell). DC 13. Self. Teleport up to one mile.</v>
      </c>
      <c r="Z5" s="11" t="str">
        <f>IFERROR(__xludf.DUMMYFUNCTION("""COMPUTED_VALUE"""),"True Name (INT Spell). DC 15. Near. Learn the True Name of target.")</f>
        <v>True Name (INT Spell). DC 15. Near. Learn the True Name of target.</v>
      </c>
      <c r="AA5" s="11"/>
      <c r="AB5" s="11"/>
    </row>
    <row r="6" ht="15.75" customHeight="1">
      <c r="A6" s="11" t="str">
        <f>IFERROR(__xludf.DUMMYFUNCTION("""COMPUTED_VALUE"""),"Rathgamnon")</f>
        <v>Rathgamnon</v>
      </c>
      <c r="B6" s="12" t="str">
        <f>IFERROR(__xludf.DUMMYFUNCTION("""COMPUTED_VALUE"""),"")</f>
        <v/>
      </c>
      <c r="C6" s="11" t="str">
        <f>IFERROR(__xludf.DUMMYFUNCTION("""COMPUTED_VALUE"""),"CR")</f>
        <v>CR</v>
      </c>
      <c r="D6" s="11" t="str">
        <f>IFERROR(__xludf.DUMMYFUNCTION("""COMPUTED_VALUE"""),"A pearl-white lion with feathered wings that stands twenty feet tall. Rathgamnon is Madeera the Covenant's mightiest servant; his blank eyes see far into the depths of time and space. He spends all eternity watching the whirl of the stars from the highest"&amp;" mountain in the realm of mortals, waiting for the celestial alignments that prophesy epochs of weal and woe, titanic changes to the balance of power in the cosmos, or threats to the laws of reality itself.")</f>
        <v>A pearl-white lion with feathered wings that stands twenty feet tall. Rathgamnon is Madeera the Covenant's mightiest servant; his blank eyes see far into the depths of time and space. He spends all eternity watching the whirl of the stars from the highest mountain in the realm of mortals, waiting for the celestial alignments that prophesy epochs of weal and woe, titanic changes to the balance of power in the cosmos, or threats to the laws of reality itself.</v>
      </c>
      <c r="E6" s="11">
        <f>IFERROR(__xludf.DUMMYFUNCTION("""COMPUTED_VALUE"""),17.0)</f>
        <v>17</v>
      </c>
      <c r="F6" s="11">
        <f>IFERROR(__xludf.DUMMYFUNCTION("""COMPUTED_VALUE"""),89.0)</f>
        <v>89</v>
      </c>
      <c r="G6" s="11" t="str">
        <f>IFERROR(__xludf.DUMMYFUNCTION("""COMPUTED_VALUE"""),"2 rend (near) +9 (2d10) and 2 spell +8")</f>
        <v>2 rend (near) +9 (2d10) and 2 spell +8</v>
      </c>
      <c r="H6" s="11" t="str">
        <f>IFERROR(__xludf.DUMMYFUNCTION("""COMPUTED_VALUE"""),"double near (fly)")</f>
        <v>double near (fly)</v>
      </c>
      <c r="I6" s="11">
        <f>IFERROR(__xludf.DUMMYFUNCTION("""COMPUTED_VALUE"""),5.0)</f>
        <v>5</v>
      </c>
      <c r="J6" s="11">
        <f>IFERROR(__xludf.DUMMYFUNCTION("""COMPUTED_VALUE"""),3.0)</f>
        <v>3</v>
      </c>
      <c r="K6" s="11">
        <f>IFERROR(__xludf.DUMMYFUNCTION("""COMPUTED_VALUE"""),4.0)</f>
        <v>4</v>
      </c>
      <c r="L6" s="11">
        <f>IFERROR(__xludf.DUMMYFUNCTION("""COMPUTED_VALUE"""),5.0)</f>
        <v>5</v>
      </c>
      <c r="M6" s="11">
        <f>IFERROR(__xludf.DUMMYFUNCTION("""COMPUTED_VALUE"""),6.0)</f>
        <v>6</v>
      </c>
      <c r="N6" s="11">
        <f>IFERROR(__xludf.DUMMYFUNCTION("""COMPUTED_VALUE"""),5.0)</f>
        <v>5</v>
      </c>
      <c r="O6" s="11" t="str">
        <f>IFERROR(__xludf.DUMMYFUNCTION("""COMPUTED_VALUE"""),"L")</f>
        <v>L</v>
      </c>
      <c r="P6" s="13">
        <f>IFERROR(__xludf.DUMMYFUNCTION("""COMPUTED_VALUE"""),19.0)</f>
        <v>19</v>
      </c>
      <c r="Q6" s="11" t="str">
        <f>IFERROR(__xludf.DUMMYFUNCTION("""COMPUTED_VALUE"""),"Legendary. Only damaged by magical sources. Hostile spells
targeting Rathgamnon are DC 18 to cast.")</f>
        <v>Legendary. Only damaged by magical sources. Hostile spells
targeting Rathgamnon are DC 18 to cast.</v>
      </c>
      <c r="R6" s="11" t="str">
        <f>IFERROR(__xludf.DUMMYFUNCTION("""COMPUTED_VALUE"""),"Roar. In place of attacks, all creatures who can hear within far DC 18 CHA or be rendered blind and speechless for 1d4 days.")</f>
        <v>Roar. In place of attacks, all creatures who can hear within far DC 18 CHA or be rendered blind and speechless for 1d4 days.</v>
      </c>
      <c r="S6" s="11" t="str">
        <f>IFERROR(__xludf.DUMMYFUNCTION("""COMPUTED_VALUE"""),"Abjure (WIS Spell). DC 13. Self. End any hostile magical effects affecting Rathgamnon.")</f>
        <v>Abjure (WIS Spell). DC 13. Self. End any hostile magical effects affecting Rathgamnon.</v>
      </c>
      <c r="T6" s="11" t="str">
        <f>IFERROR(__xludf.DUMMYFUNCTION("""COMPUTED_VALUE"""),"Abolish (WIS Spell). DC 13. One target in far takes 5d8 damage.")</f>
        <v>Abolish (WIS Spell). DC 13. One target in far takes 5d8 damage.</v>
      </c>
      <c r="U6" s="11" t="str">
        <f>IFERROR(__xludf.DUMMYFUNCTION("""COMPUTED_VALUE"""),"Anchor (WIS Spell). DC 14. One target in far DC 18 STR or bound and anchored by chains of golden runes for 1d4 rounds.")</f>
        <v>Anchor (WIS Spell). DC 14. One target in far DC 18 STR or bound and anchored by chains of golden runes for 1d4 rounds.</v>
      </c>
      <c r="V6" s="11" t="str">
        <f>IFERROR(__xludf.DUMMYFUNCTION("""COMPUTED_VALUE"""),"Gate (WIS Spell). DC 14. Open a portal at a point within near to another location on any plane. Lasts 1d6 rounds or until dismissed.")</f>
        <v>Gate (WIS Spell). DC 14. Open a portal at a point within near to another location on any plane. Lasts 1d6 rounds or until dismissed.</v>
      </c>
      <c r="W6" s="11" t="str">
        <f>IFERROR(__xludf.DUMMYFUNCTION("""COMPUTED_VALUE"""),"Portent (WIS Spell). DC 14. Lasts 2d4 rounds. One target in near has advantage or disadvantage on all attack rolls and checks.")</f>
        <v>Portent (WIS Spell). DC 14. Lasts 2d4 rounds. One target in near has advantage or disadvantage on all attack rolls and checks.</v>
      </c>
      <c r="X6" s="11" t="str">
        <f>IFERROR(__xludf.DUMMYFUNCTION("""COMPUTED_VALUE"""),"Time Stop (WIS Spell). DC 15. Self. Time freezes for everyone except Rathgamnon for 1d4 rounds. Everything that occurs during the time freeze happens simultaneously when the spell ends.")</f>
        <v>Time Stop (WIS Spell). DC 15. Self. Time freezes for everyone except Rathgamnon for 1d4 rounds. Everything that occurs during the time freeze happens simultaneously when the spell ends.</v>
      </c>
      <c r="Y6" s="11"/>
      <c r="Z6" s="11"/>
      <c r="AA6" s="11"/>
      <c r="AB6" s="11"/>
    </row>
    <row r="7" ht="15.75" customHeight="1">
      <c r="A7" s="11" t="str">
        <f>IFERROR(__xludf.DUMMYFUNCTION("""COMPUTED_VALUE"""),"The Tarrasque")</f>
        <v>The Tarrasque</v>
      </c>
      <c r="B7" s="12">
        <f>IFERROR(__xludf.DUMMYFUNCTION("""COMPUTED_VALUE"""),30.0)</f>
        <v>30</v>
      </c>
      <c r="C7" s="11" t="str">
        <f>IFERROR(__xludf.DUMMYFUNCTION("""COMPUTED_VALUE"""),"CR")</f>
        <v>CR</v>
      </c>
      <c r="D7" s="11" t="str">
        <f>IFERROR(__xludf.DUMMYFUNCTION("""COMPUTED_VALUE"""),"A colossal, four-legged reptile with crocodilian jaws, amber scales, and a diamond-hard, spiked carapace. It towers overhead like a mountain, able to swallow entire villages in one gulp. The tarrasque hibernates deep in the earth or at the bottom of the s"&amp;"ea for centuries, only awakening long enough to fill its vast belly in an indiscriminate rampage of terror and destruction. There is only one tarrasque, and it is the most dreaded creature to walk the earth.")</f>
        <v>A colossal, four-legged reptile with crocodilian jaws, amber scales, and a diamond-hard, spiked carapace. It towers overhead like a mountain, able to swallow entire villages in one gulp. The tarrasque hibernates deep in the earth or at the bottom of the sea for centuries, only awakening long enough to fill its vast belly in an indiscriminate rampage of terror and destruction. There is only one tarrasque, and it is the most dreaded creature to walk the earth.</v>
      </c>
      <c r="E7" s="11">
        <f>IFERROR(__xludf.DUMMYFUNCTION("""COMPUTED_VALUE"""),22.0)</f>
        <v>22</v>
      </c>
      <c r="F7" s="11">
        <f>IFERROR(__xludf.DUMMYFUNCTION("""COMPUTED_VALUE"""),140.0)</f>
        <v>140</v>
      </c>
      <c r="G7" s="11" t="str">
        <f>IFERROR(__xludf.DUMMYFUNCTION("""COMPUTED_VALUE"""),"4 thrash (near) +13 (3d10 + sever) and 1 bite (near) +13 (5d10 + sever + swallow)")</f>
        <v>4 thrash (near) +13 (3d10 + sever) and 1 bite (near) +13 (5d10 + sever + swallow)</v>
      </c>
      <c r="H7" s="11" t="str">
        <f>IFERROR(__xludf.DUMMYFUNCTION("""COMPUTED_VALUE"""),"triple near (burrow, swim)")</f>
        <v>triple near (burrow, swim)</v>
      </c>
      <c r="I7" s="11">
        <f>IFERROR(__xludf.DUMMYFUNCTION("""COMPUTED_VALUE"""),7.0)</f>
        <v>7</v>
      </c>
      <c r="J7" s="11">
        <f>IFERROR(__xludf.DUMMYFUNCTION("""COMPUTED_VALUE"""),2.0)</f>
        <v>2</v>
      </c>
      <c r="K7" s="11">
        <f>IFERROR(__xludf.DUMMYFUNCTION("""COMPUTED_VALUE"""),5.0)</f>
        <v>5</v>
      </c>
      <c r="L7" s="11">
        <f>IFERROR(__xludf.DUMMYFUNCTION("""COMPUTED_VALUE"""),-3.0)</f>
        <v>-3</v>
      </c>
      <c r="M7" s="11">
        <f>IFERROR(__xludf.DUMMYFUNCTION("""COMPUTED_VALUE"""),1.0)</f>
        <v>1</v>
      </c>
      <c r="N7" s="11">
        <f>IFERROR(__xludf.DUMMYFUNCTION("""COMPUTED_VALUE"""),-3.0)</f>
        <v>-3</v>
      </c>
      <c r="O7" s="11" t="str">
        <f>IFERROR(__xludf.DUMMYFUNCTION("""COMPUTED_VALUE"""),"N")</f>
        <v>N</v>
      </c>
      <c r="P7" s="13">
        <f>IFERROR(__xludf.DUMMYFUNCTION("""COMPUTED_VALUE"""),30.0)</f>
        <v>30</v>
      </c>
      <c r="Q7" s="11" t="str">
        <f>IFERROR(__xludf.DUMMYFUNCTION("""COMPUTED_VALUE"""),"Legendary. Only damaged by magical sources. Hostile spells targeting the tarrasque are DC 18 to cast.")</f>
        <v>Legendary. Only damaged by magical sources. Hostile spells targeting the tarrasque are DC 18 to cast.</v>
      </c>
      <c r="R7" s="11" t="str">
        <f>IFERROR(__xludf.DUMMYFUNCTION("""COMPUTED_VALUE"""),"Deep Dweller. Immune to harm from fire and cold. Amphibious.")</f>
        <v>Deep Dweller. Immune to harm from fire and cold. Amphibious.</v>
      </c>
      <c r="S7" s="11" t="str">
        <f>IFERROR(__xludf.DUMMYFUNCTION("""COMPUTED_VALUE"""),"Permanent Death. Cannot be permanently killed unless a wish spell is cast on it while it is at 0 HP.")</f>
        <v>Permanent Death. Cannot be permanently killed unless a wish spell is cast on it while it is at 0 HP.</v>
      </c>
      <c r="T7" s="11" t="str">
        <f>IFERROR(__xludf.DUMMYFUNCTION("""COMPUTED_VALUE"""),"Rampage. In place of attacks, move far in a straight line and make one bite attack. On a hit, triple damage.")</f>
        <v>Rampage. In place of attacks, move far in a straight line and make one bite attack. On a hit, triple damage.</v>
      </c>
      <c r="U7" s="11" t="str">
        <f>IFERROR(__xludf.DUMMYFUNCTION("""COMPUTED_VALUE"""),"Reflective Carapace. Immune to rays, blasts, or bolts of energy. 1:6 chance these are reflected back at their originator.")</f>
        <v>Reflective Carapace. Immune to rays, blasts, or bolts of energy. 1:6 chance these are reflected back at their originator.</v>
      </c>
      <c r="V7" s="11" t="str">
        <f>IFERROR(__xludf.DUMMYFUNCTION("""COMPUTED_VALUE"""),"Regeneration. Regains 4d10 lost HP at the beginning of its turn.")</f>
        <v>Regeneration. Regains 4d10 lost HP at the beginning of its turn.</v>
      </c>
      <c r="W7" s="11" t="str">
        <f>IFERROR(__xludf.DUMMYFUNCTION("""COMPUTED_VALUE"""),"Sever. On a natural attack roll of 18+, the attack also severs a random limb. 1d6: 1. Head, 2-4. Arm, 5-6. Leg.")</f>
        <v>Sever. On a natural attack roll of 18+, the attack also severs a random limb. 1d6: 1. Head, 2-4. Arm, 5-6. Leg.</v>
      </c>
      <c r="X7" s="11" t="str">
        <f>IFERROR(__xludf.DUMMYFUNCTION("""COMPUTED_VALUE"""),"Swallow. DC 18 STR or swallowed whole. Total darkness inside and 4d10 damage per round. Tarrasque regurgitates all swallowed if dealt at least 30 damage in one round to the inside of its gullet.")</f>
        <v>Swallow. DC 18 STR or swallowed whole. Total darkness inside and 4d10 damage per round. Tarrasque regurgitates all swallowed if dealt at least 30 damage in one round to the inside of its gullet.</v>
      </c>
      <c r="Y7" s="11"/>
      <c r="Z7" s="11"/>
      <c r="AA7" s="11"/>
      <c r="AB7" s="11"/>
    </row>
    <row r="8" ht="15.75" customHeight="1">
      <c r="A8" s="11" t="str">
        <f>IFERROR(__xludf.DUMMYFUNCTION("""COMPUTED_VALUE"""),"Elemental, Air")</f>
        <v>Elemental, Air</v>
      </c>
      <c r="B8" s="12">
        <f>IFERROR(__xludf.DUMMYFUNCTION("""COMPUTED_VALUE"""),5.0)</f>
        <v>5</v>
      </c>
      <c r="C8" s="11" t="str">
        <f>IFERROR(__xludf.DUMMYFUNCTION("""COMPUTED_VALUE"""),"CR")</f>
        <v>CR</v>
      </c>
      <c r="D8" s="11" t="str">
        <f>IFERROR(__xludf.DUMMYFUNCTION("""COMPUTED_VALUE"""),"A howling tornado of wind.")</f>
        <v>A howling tornado of wind.</v>
      </c>
      <c r="E8" s="11">
        <f>IFERROR(__xludf.DUMMYFUNCTION("""COMPUTED_VALUE"""),16.0)</f>
        <v>16</v>
      </c>
      <c r="F8" s="11" t="str">
        <f>IFERROR(__xludf.DUMMYFUNCTION("""COMPUTED_VALUE"""),"*")</f>
        <v>*</v>
      </c>
      <c r="G8" s="11" t="str">
        <f>IFERROR(__xludf.DUMMYFUNCTION("""COMPUTED_VALUE"""),"3 slam +7 (*d6) or 1 whirlwind")</f>
        <v>3 slam +7 (*d6) or 1 whirlwind</v>
      </c>
      <c r="H8" s="11" t="str">
        <f>IFERROR(__xludf.DUMMYFUNCTION("""COMPUTED_VALUE"""),"double near (fly)")</f>
        <v>double near (fly)</v>
      </c>
      <c r="I8" s="11">
        <f>IFERROR(__xludf.DUMMYFUNCTION("""COMPUTED_VALUE"""),3.0)</f>
        <v>3</v>
      </c>
      <c r="J8" s="11">
        <f>IFERROR(__xludf.DUMMYFUNCTION("""COMPUTED_VALUE"""),5.0)</f>
        <v>5</v>
      </c>
      <c r="K8" s="11">
        <f>IFERROR(__xludf.DUMMYFUNCTION("""COMPUTED_VALUE"""),2.0)</f>
        <v>2</v>
      </c>
      <c r="L8" s="11">
        <f>IFERROR(__xludf.DUMMYFUNCTION("""COMPUTED_VALUE"""),-2.0)</f>
        <v>-2</v>
      </c>
      <c r="M8" s="11">
        <f>IFERROR(__xludf.DUMMYFUNCTION("""COMPUTED_VALUE"""),1.0)</f>
        <v>1</v>
      </c>
      <c r="N8" s="11">
        <f>IFERROR(__xludf.DUMMYFUNCTION("""COMPUTED_VALUE"""),-2.0)</f>
        <v>-2</v>
      </c>
      <c r="O8" s="11" t="str">
        <f>IFERROR(__xludf.DUMMYFUNCTION("""COMPUTED_VALUE"""),"N")</f>
        <v>N</v>
      </c>
      <c r="P8" s="13" t="str">
        <f>IFERROR(__xludf.DUMMYFUNCTION("""COMPUTED_VALUE"""),"*")</f>
        <v>*</v>
      </c>
      <c r="Q8" s="11" t="str">
        <f>IFERROR(__xludf.DUMMYFUNCTION("""COMPUTED_VALUE"""),"Impervious. Only damaged by magical sources.")</f>
        <v>Impervious. Only damaged by magical sources.</v>
      </c>
      <c r="R8" s="11" t="str">
        <f>IFERROR(__xludf.DUMMYFUNCTION("""COMPUTED_VALUE"""),"Whirlwind. All within close DC 15 DEX or flung 2d20 feet in random direction.")</f>
        <v>Whirlwind. All within close DC 15 DEX or flung 2d20 feet in random direction.</v>
      </c>
      <c r="S8" s="11"/>
      <c r="T8" s="11"/>
      <c r="U8" s="11"/>
      <c r="V8" s="11"/>
      <c r="W8" s="11"/>
      <c r="X8" s="11"/>
      <c r="Y8" s="11"/>
      <c r="Z8" s="11"/>
      <c r="AA8" s="11"/>
      <c r="AB8" s="11"/>
    </row>
    <row r="9" ht="15.75" customHeight="1">
      <c r="A9" s="11" t="str">
        <f>IFERROR(__xludf.DUMMYFUNCTION("""COMPUTED_VALUE"""),"Elemental, Earth")</f>
        <v>Elemental, Earth</v>
      </c>
      <c r="B9" s="12">
        <f>IFERROR(__xludf.DUMMYFUNCTION("""COMPUTED_VALUE"""),5.0)</f>
        <v>5</v>
      </c>
      <c r="C9" s="11" t="str">
        <f>IFERROR(__xludf.DUMMYFUNCTION("""COMPUTED_VALUE"""),"CR")</f>
        <v>CR</v>
      </c>
      <c r="D9" s="11" t="str">
        <f>IFERROR(__xludf.DUMMYFUNCTION("""COMPUTED_VALUE"""),"A thundering pillar of earth.")</f>
        <v>A thundering pillar of earth.</v>
      </c>
      <c r="E9" s="11">
        <f>IFERROR(__xludf.DUMMYFUNCTION("""COMPUTED_VALUE"""),17.0)</f>
        <v>17</v>
      </c>
      <c r="F9" s="11" t="str">
        <f>IFERROR(__xludf.DUMMYFUNCTION("""COMPUTED_VALUE"""),"*")</f>
        <v>*</v>
      </c>
      <c r="G9" s="11" t="str">
        <f>IFERROR(__xludf.DUMMYFUNCTION("""COMPUTED_VALUE"""),"3 slam +7 (*d8) or 1 avalanche")</f>
        <v>3 slam +7 (*d8) or 1 avalanche</v>
      </c>
      <c r="H9" s="11" t="str">
        <f>IFERROR(__xludf.DUMMYFUNCTION("""COMPUTED_VALUE"""),"near (burrow)")</f>
        <v>near (burrow)</v>
      </c>
      <c r="I9" s="11">
        <f>IFERROR(__xludf.DUMMYFUNCTION("""COMPUTED_VALUE"""),5.0)</f>
        <v>5</v>
      </c>
      <c r="J9" s="11">
        <f>IFERROR(__xludf.DUMMYFUNCTION("""COMPUTED_VALUE"""),0.0)</f>
        <v>0</v>
      </c>
      <c r="K9" s="11">
        <f>IFERROR(__xludf.DUMMYFUNCTION("""COMPUTED_VALUE"""),4.0)</f>
        <v>4</v>
      </c>
      <c r="L9" s="11">
        <f>IFERROR(__xludf.DUMMYFUNCTION("""COMPUTED_VALUE"""),-2.0)</f>
        <v>-2</v>
      </c>
      <c r="M9" s="11">
        <f>IFERROR(__xludf.DUMMYFUNCTION("""COMPUTED_VALUE"""),1.0)</f>
        <v>1</v>
      </c>
      <c r="N9" s="11">
        <f>IFERROR(__xludf.DUMMYFUNCTION("""COMPUTED_VALUE"""),-2.0)</f>
        <v>-2</v>
      </c>
      <c r="O9" s="11" t="str">
        <f>IFERROR(__xludf.DUMMYFUNCTION("""COMPUTED_VALUE"""),"N")</f>
        <v>N</v>
      </c>
      <c r="P9" s="13" t="str">
        <f>IFERROR(__xludf.DUMMYFUNCTION("""COMPUTED_VALUE"""),"*")</f>
        <v>*</v>
      </c>
      <c r="Q9" s="11" t="str">
        <f>IFERROR(__xludf.DUMMYFUNCTION("""COMPUTED_VALUE"""),"Impervious. Only damaged by magical sources.")</f>
        <v>Impervious. Only damaged by magical sources.</v>
      </c>
      <c r="R9" s="11" t="str">
        <f>IFERROR(__xludf.DUMMYFUNCTION("""COMPUTED_VALUE"""),"Avalanche. All within close DC 15 STR or entombed for 1d4 rounds under mounds of earth.")</f>
        <v>Avalanche. All within close DC 15 STR or entombed for 1d4 rounds under mounds of earth.</v>
      </c>
      <c r="S9" s="11"/>
      <c r="T9" s="11"/>
      <c r="U9" s="11"/>
      <c r="V9" s="11"/>
      <c r="W9" s="11"/>
      <c r="X9" s="11"/>
      <c r="Y9" s="11"/>
      <c r="Z9" s="11"/>
      <c r="AA9" s="11"/>
      <c r="AB9" s="11"/>
    </row>
    <row r="10" ht="15.75" customHeight="1">
      <c r="A10" s="11" t="str">
        <f>IFERROR(__xludf.DUMMYFUNCTION("""COMPUTED_VALUE"""),"Elemental, Fire")</f>
        <v>Elemental, Fire</v>
      </c>
      <c r="B10" s="12">
        <f>IFERROR(__xludf.DUMMYFUNCTION("""COMPUTED_VALUE"""),5.0)</f>
        <v>5</v>
      </c>
      <c r="C10" s="11" t="str">
        <f>IFERROR(__xludf.DUMMYFUNCTION("""COMPUTED_VALUE"""),"CR")</f>
        <v>CR</v>
      </c>
      <c r="D10" s="11" t="str">
        <f>IFERROR(__xludf.DUMMYFUNCTION("""COMPUTED_VALUE"""),"A roaring column of flames.")</f>
        <v>A roaring column of flames.</v>
      </c>
      <c r="E10" s="11">
        <f>IFERROR(__xludf.DUMMYFUNCTION("""COMPUTED_VALUE"""),15.0)</f>
        <v>15</v>
      </c>
      <c r="F10" s="11" t="str">
        <f>IFERROR(__xludf.DUMMYFUNCTION("""COMPUTED_VALUE"""),"*")</f>
        <v>*</v>
      </c>
      <c r="G10" s="11" t="str">
        <f>IFERROR(__xludf.DUMMYFUNCTION("""COMPUTED_VALUE"""),"3 slam +6 (*d10) or 1 inferno")</f>
        <v>3 slam +6 (*d10) or 1 inferno</v>
      </c>
      <c r="H10" s="11" t="str">
        <f>IFERROR(__xludf.DUMMYFUNCTION("""COMPUTED_VALUE"""),"near (fly)")</f>
        <v>near (fly)</v>
      </c>
      <c r="I10" s="11">
        <f>IFERROR(__xludf.DUMMYFUNCTION("""COMPUTED_VALUE"""),4.0)</f>
        <v>4</v>
      </c>
      <c r="J10" s="11">
        <f>IFERROR(__xludf.DUMMYFUNCTION("""COMPUTED_VALUE"""),3.0)</f>
        <v>3</v>
      </c>
      <c r="K10" s="11">
        <f>IFERROR(__xludf.DUMMYFUNCTION("""COMPUTED_VALUE"""),3.0)</f>
        <v>3</v>
      </c>
      <c r="L10" s="11">
        <f>IFERROR(__xludf.DUMMYFUNCTION("""COMPUTED_VALUE"""),-2.0)</f>
        <v>-2</v>
      </c>
      <c r="M10" s="11">
        <f>IFERROR(__xludf.DUMMYFUNCTION("""COMPUTED_VALUE"""),1.0)</f>
        <v>1</v>
      </c>
      <c r="N10" s="11">
        <f>IFERROR(__xludf.DUMMYFUNCTION("""COMPUTED_VALUE"""),-2.0)</f>
        <v>-2</v>
      </c>
      <c r="O10" s="11" t="str">
        <f>IFERROR(__xludf.DUMMYFUNCTION("""COMPUTED_VALUE"""),"N")</f>
        <v>N</v>
      </c>
      <c r="P10" s="13" t="str">
        <f>IFERROR(__xludf.DUMMYFUNCTION("""COMPUTED_VALUE"""),"*")</f>
        <v>*</v>
      </c>
      <c r="Q10" s="11" t="str">
        <f>IFERROR(__xludf.DUMMYFUNCTION("""COMPUTED_VALUE"""),"Impervious. Only damaged by magical sources. Fire immune.")</f>
        <v>Impervious. Only damaged by magical sources. Fire immune.</v>
      </c>
      <c r="R10" s="11" t="str">
        <f>IFERROR(__xludf.DUMMYFUNCTION("""COMPUTED_VALUE"""),"Inferno. All within near DC 15 DEX or 3d8 damage.")</f>
        <v>Inferno. All within near DC 15 DEX or 3d8 damage.</v>
      </c>
      <c r="S10" s="11"/>
      <c r="T10" s="11"/>
      <c r="U10" s="11"/>
      <c r="V10" s="11"/>
      <c r="W10" s="11"/>
      <c r="X10" s="11"/>
      <c r="Y10" s="11"/>
      <c r="Z10" s="11"/>
      <c r="AA10" s="11"/>
      <c r="AB10" s="11"/>
    </row>
    <row r="11" ht="15.75" customHeight="1">
      <c r="A11" s="11" t="str">
        <f>IFERROR(__xludf.DUMMYFUNCTION("""COMPUTED_VALUE"""),"Elemental, Water")</f>
        <v>Elemental, Water</v>
      </c>
      <c r="B11" s="12">
        <f>IFERROR(__xludf.DUMMYFUNCTION("""COMPUTED_VALUE"""),5.0)</f>
        <v>5</v>
      </c>
      <c r="C11" s="11" t="str">
        <f>IFERROR(__xludf.DUMMYFUNCTION("""COMPUTED_VALUE"""),"CR")</f>
        <v>CR</v>
      </c>
      <c r="D11" s="11" t="str">
        <f>IFERROR(__xludf.DUMMYFUNCTION("""COMPUTED_VALUE"""),"A crashing vortex of water.")</f>
        <v>A crashing vortex of water.</v>
      </c>
      <c r="E11" s="11">
        <f>IFERROR(__xludf.DUMMYFUNCTION("""COMPUTED_VALUE"""),15.0)</f>
        <v>15</v>
      </c>
      <c r="F11" s="11" t="str">
        <f>IFERROR(__xludf.DUMMYFUNCTION("""COMPUTED_VALUE"""),"*")</f>
        <v>*</v>
      </c>
      <c r="G11" s="11" t="str">
        <f>IFERROR(__xludf.DUMMYFUNCTION("""COMPUTED_VALUE"""),"3 slam +6 (*d6) or 1 whirlpool")</f>
        <v>3 slam +6 (*d6) or 1 whirlpool</v>
      </c>
      <c r="H11" s="11" t="str">
        <f>IFERROR(__xludf.DUMMYFUNCTION("""COMPUTED_VALUE"""),"double near (swim)")</f>
        <v>double near (swim)</v>
      </c>
      <c r="I11" s="11">
        <f>IFERROR(__xludf.DUMMYFUNCTION("""COMPUTED_VALUE"""),4.0)</f>
        <v>4</v>
      </c>
      <c r="J11" s="11">
        <f>IFERROR(__xludf.DUMMYFUNCTION("""COMPUTED_VALUE"""),2.0)</f>
        <v>2</v>
      </c>
      <c r="K11" s="11">
        <f>IFERROR(__xludf.DUMMYFUNCTION("""COMPUTED_VALUE"""),2.0)</f>
        <v>2</v>
      </c>
      <c r="L11" s="11">
        <f>IFERROR(__xludf.DUMMYFUNCTION("""COMPUTED_VALUE"""),-2.0)</f>
        <v>-2</v>
      </c>
      <c r="M11" s="11">
        <f>IFERROR(__xludf.DUMMYFUNCTION("""COMPUTED_VALUE"""),1.0)</f>
        <v>1</v>
      </c>
      <c r="N11" s="11">
        <f>IFERROR(__xludf.DUMMYFUNCTION("""COMPUTED_VALUE"""),-2.0)</f>
        <v>-2</v>
      </c>
      <c r="O11" s="11" t="str">
        <f>IFERROR(__xludf.DUMMYFUNCTION("""COMPUTED_VALUE"""),"N")</f>
        <v>N</v>
      </c>
      <c r="P11" s="13" t="str">
        <f>IFERROR(__xludf.DUMMYFUNCTION("""COMPUTED_VALUE"""),"*")</f>
        <v>*</v>
      </c>
      <c r="Q11" s="11" t="str">
        <f>IFERROR(__xludf.DUMMYFUNCTION("""COMPUTED_VALUE"""),"Impervious. Only damaged by magical sources.")</f>
        <v>Impervious. Only damaged by magical sources.</v>
      </c>
      <c r="R11" s="11" t="str">
        <f>IFERROR(__xludf.DUMMYFUNCTION("""COMPUTED_VALUE"""),"Whirlpool. All within close DC 15 STR or immobilized inside water elemental (treat as underwater). DC 15 STR to escape on turn.")</f>
        <v>Whirlpool. All within close DC 15 STR or immobilized inside water elemental (treat as underwater). DC 15 STR to escape on turn.</v>
      </c>
      <c r="S11" s="11"/>
      <c r="T11" s="11"/>
      <c r="U11" s="11"/>
      <c r="V11" s="11"/>
      <c r="W11" s="11"/>
      <c r="X11" s="11"/>
      <c r="Y11" s="11"/>
      <c r="Z11" s="11"/>
      <c r="AA11" s="11"/>
      <c r="AB11" s="11"/>
    </row>
    <row r="12" ht="15.75" customHeight="1">
      <c r="A12" s="11" t="str">
        <f>IFERROR(__xludf.DUMMYFUNCTION("""COMPUTED_VALUE"""),"Hydra")</f>
        <v>Hydra</v>
      </c>
      <c r="B12" s="12">
        <f>IFERROR(__xludf.DUMMYFUNCTION("""COMPUTED_VALUE"""),8.0)</f>
        <v>8</v>
      </c>
      <c r="C12" s="11" t="str">
        <f>IFERROR(__xludf.DUMMYFUNCTION("""COMPUTED_VALUE"""),"CR")</f>
        <v>CR</v>
      </c>
      <c r="D12" s="11" t="str">
        <f>IFERROR(__xludf.DUMMYFUNCTION("""COMPUTED_VALUE"""),"A towering, amphibious reptile with a bouquet of snake heads writhing on long necks.")</f>
        <v>A towering, amphibious reptile with a bouquet of snake heads writhing on long necks.</v>
      </c>
      <c r="E12" s="11">
        <f>IFERROR(__xludf.DUMMYFUNCTION("""COMPUTED_VALUE"""),15.0)</f>
        <v>15</v>
      </c>
      <c r="F12" s="11" t="str">
        <f>IFERROR(__xludf.DUMMYFUNCTION("""COMPUTED_VALUE"""),"*")</f>
        <v>*</v>
      </c>
      <c r="G12" s="11" t="str">
        <f>IFERROR(__xludf.DUMMYFUNCTION("""COMPUTED_VALUE"""),"1 bite (near) +6 (1d8)")</f>
        <v>1 bite (near) +6 (1d8)</v>
      </c>
      <c r="H12" s="11" t="str">
        <f>IFERROR(__xludf.DUMMYFUNCTION("""COMPUTED_VALUE"""),"near (swim)")</f>
        <v>near (swim)</v>
      </c>
      <c r="I12" s="11">
        <f>IFERROR(__xludf.DUMMYFUNCTION("""COMPUTED_VALUE"""),5.0)</f>
        <v>5</v>
      </c>
      <c r="J12" s="11">
        <f>IFERROR(__xludf.DUMMYFUNCTION("""COMPUTED_VALUE"""),1.0)</f>
        <v>1</v>
      </c>
      <c r="K12" s="11">
        <f>IFERROR(__xludf.DUMMYFUNCTION("""COMPUTED_VALUE"""),2.0)</f>
        <v>2</v>
      </c>
      <c r="L12" s="11">
        <f>IFERROR(__xludf.DUMMYFUNCTION("""COMPUTED_VALUE"""),-2.0)</f>
        <v>-2</v>
      </c>
      <c r="M12" s="11">
        <f>IFERROR(__xludf.DUMMYFUNCTION("""COMPUTED_VALUE"""),1.0)</f>
        <v>1</v>
      </c>
      <c r="N12" s="11">
        <f>IFERROR(__xludf.DUMMYFUNCTION("""COMPUTED_VALUE"""),-2.0)</f>
        <v>-2</v>
      </c>
      <c r="O12" s="11" t="str">
        <f>IFERROR(__xludf.DUMMYFUNCTION("""COMPUTED_VALUE"""),"N")</f>
        <v>N</v>
      </c>
      <c r="P12" s="13" t="str">
        <f>IFERROR(__xludf.DUMMYFUNCTION("""COMPUTED_VALUE"""),"*")</f>
        <v>*</v>
      </c>
      <c r="Q12" s="11" t="str">
        <f>IFERROR(__xludf.DUMMYFUNCTION("""COMPUTED_VALUE"""),"Heads. Choose how many heads the hydra has. Each is LV 2, AC 15, and can make 1 bite attack. A killed head sprouts into two new heads at the start of the hydra's turn unless cauterized beforehand. Treat the hydra's LV as all the heads combined.")</f>
        <v>Heads. Choose how many heads the hydra has. Each is LV 2, AC 15, and can make 1 bite attack. A killed head sprouts into two new heads at the start of the hydra's turn unless cauterized beforehand. Treat the hydra's LV as all the heads combined.</v>
      </c>
      <c r="R12" s="11"/>
      <c r="S12" s="11"/>
      <c r="T12" s="11"/>
      <c r="U12" s="11"/>
      <c r="V12" s="11"/>
      <c r="W12" s="11"/>
      <c r="X12" s="11"/>
      <c r="Y12" s="11"/>
      <c r="Z12" s="11"/>
      <c r="AA12" s="11"/>
      <c r="AB12" s="11"/>
    </row>
  </sheetData>
  <customSheetViews>
    <customSheetView guid="{7904D927-A127-473C-8B57-4EE1C7E3FAE9}" filter="1" showAutoFilter="1">
      <autoFilter ref="$A$1:$AB$12">
        <filterColumn colId="2">
          <filters/>
        </filterColumn>
      </autoFilter>
    </customSheetView>
    <customSheetView guid="{4FEF9F0C-4236-4853-B093-88FE2289FD26}" filter="1" showAutoFilter="1">
      <autoFilter ref="$A$1:$AB$12">
        <filterColumn colId="2">
          <filters>
            <filter val="CR"/>
          </filters>
        </filterColumn>
      </autoFilter>
    </customSheetView>
    <customSheetView guid="{7B4FF760-C879-4C05-8F10-45D59B7E7C3E}" filter="1" showAutoFilter="1">
      <autoFilter ref="$A$1:$AB$12">
        <filterColumn colId="2">
          <filters/>
        </filterColumn>
      </autoFilter>
    </customSheetView>
    <customSheetView guid="{51DCF084-7C01-403C-9896-1E7742DCA6B3}" filter="1" showAutoFilter="1">
      <autoFilter ref="$A$1:$AB$12"/>
    </customSheetView>
    <customSheetView guid="{5CDEC3B1-201F-4BAD-941F-A80E62A04015}" filter="1" showAutoFilter="1">
      <autoFilter ref="$A$1:$AB$12">
        <filterColumn colId="2">
          <filters/>
        </filterColumn>
      </autoFilter>
    </customSheetView>
    <customSheetView guid="{6B2E9E35-D6A1-4749-95F2-2658A691119A}" filter="1" showAutoFilter="1">
      <autoFilter ref="$A$1:$AB$12">
        <filterColumn colId="2">
          <filters/>
        </filterColumn>
      </autoFilter>
    </customSheetView>
  </customSheetView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3" t="s">
        <v>1139</v>
      </c>
      <c r="B1" s="34"/>
      <c r="C1" s="34"/>
      <c r="D1" s="34"/>
      <c r="E1" s="34"/>
    </row>
    <row r="2">
      <c r="A2" s="35"/>
      <c r="B2" s="36" t="s">
        <v>1140</v>
      </c>
      <c r="C2" s="37"/>
      <c r="D2" s="38"/>
      <c r="E2" s="39"/>
    </row>
    <row r="3">
      <c r="A3" s="35"/>
      <c r="B3" s="35"/>
      <c r="C3" s="35"/>
      <c r="D3" s="35"/>
      <c r="E3" s="39"/>
    </row>
    <row r="4">
      <c r="A4" s="40" t="s">
        <v>1141</v>
      </c>
      <c r="B4" s="37"/>
      <c r="C4" s="37"/>
      <c r="D4" s="37"/>
      <c r="E4" s="37"/>
    </row>
    <row r="5">
      <c r="A5" s="35"/>
      <c r="B5" s="36" t="s">
        <v>1142</v>
      </c>
      <c r="C5" s="37"/>
      <c r="D5" s="38"/>
      <c r="E5" s="39"/>
    </row>
    <row r="6">
      <c r="A6" s="35"/>
      <c r="B6" s="35"/>
      <c r="C6" s="35"/>
      <c r="D6" s="35"/>
      <c r="E6" s="39"/>
    </row>
    <row r="7">
      <c r="A7" s="41" t="s">
        <v>1143</v>
      </c>
      <c r="E7" s="42"/>
    </row>
    <row r="8">
      <c r="A8" s="43"/>
      <c r="B8" s="37"/>
      <c r="C8" s="37"/>
      <c r="D8" s="37"/>
      <c r="E8" s="38"/>
    </row>
    <row r="9">
      <c r="A9" s="44"/>
      <c r="E9" s="42"/>
    </row>
    <row r="10">
      <c r="A10" s="37"/>
      <c r="B10" s="37"/>
      <c r="C10" s="37"/>
      <c r="D10" s="37"/>
      <c r="E10" s="38"/>
    </row>
    <row r="11">
      <c r="A11" s="45" t="s">
        <v>1144</v>
      </c>
      <c r="E11" s="42"/>
    </row>
    <row r="12">
      <c r="E12" s="42"/>
    </row>
    <row r="13">
      <c r="A13" s="37"/>
      <c r="B13" s="37"/>
      <c r="C13" s="37"/>
      <c r="D13" s="37"/>
      <c r="E13" s="38"/>
    </row>
    <row r="14">
      <c r="A14" s="45" t="s">
        <v>1145</v>
      </c>
      <c r="E14" s="42"/>
    </row>
    <row r="15">
      <c r="E15" s="42"/>
    </row>
    <row r="16">
      <c r="A16" s="37"/>
      <c r="B16" s="37"/>
      <c r="C16" s="37"/>
      <c r="D16" s="37"/>
      <c r="E16" s="38"/>
    </row>
    <row r="17">
      <c r="A17" s="46" t="s">
        <v>1146</v>
      </c>
      <c r="E17" s="42"/>
    </row>
    <row r="18">
      <c r="E18" s="42"/>
    </row>
    <row r="19">
      <c r="A19" s="37"/>
      <c r="B19" s="37"/>
      <c r="C19" s="37"/>
      <c r="D19" s="37"/>
      <c r="E19" s="38"/>
    </row>
    <row r="20">
      <c r="A20" s="47" t="s">
        <v>1147</v>
      </c>
      <c r="B20" s="37"/>
      <c r="C20" s="37"/>
      <c r="D20" s="37"/>
      <c r="E20" s="38"/>
    </row>
    <row r="21">
      <c r="A21" s="48" t="s">
        <v>1148</v>
      </c>
    </row>
  </sheetData>
  <mergeCells count="11">
    <mergeCell ref="A14:E16"/>
    <mergeCell ref="A17:E19"/>
    <mergeCell ref="A20:E20"/>
    <mergeCell ref="A21:E21"/>
    <mergeCell ref="A1:E1"/>
    <mergeCell ref="B2:D2"/>
    <mergeCell ref="A4:E4"/>
    <mergeCell ref="B5:D5"/>
    <mergeCell ref="A7:E8"/>
    <mergeCell ref="A9:E10"/>
    <mergeCell ref="A11:E13"/>
  </mergeCells>
  <hyperlinks>
    <hyperlink r:id="rId1" ref="B2"/>
    <hyperlink r:id="rId2" ref="B5"/>
    <hyperlink r:id="rId3" ref="A11"/>
    <hyperlink r:id="rId4" ref="A14"/>
  </hyperlinks>
  <drawing r:id="rId5"/>
</worksheet>
</file>